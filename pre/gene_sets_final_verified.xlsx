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Volumes/科研技术/CAVD_GSEA/pre/"/>
    </mc:Choice>
  </mc:AlternateContent>
  <xr:revisionPtr revIDLastSave="0" documentId="13_ncr:1_{78DD924D-A7F2-7D4F-9DF8-BC83491450E1}" xr6:coauthVersionLast="47" xr6:coauthVersionMax="47" xr10:uidLastSave="{00000000-0000-0000-0000-000000000000}"/>
  <bookViews>
    <workbookView xWindow="0" yWindow="660" windowWidth="24380" windowHeight="15060" tabRatio="500" activeTab="6" xr2:uid="{00000000-000D-0000-FFFF-FFFF00000000}"/>
  </bookViews>
  <sheets>
    <sheet name="LEPTIN_MTOR" sheetId="1" r:id="rId1"/>
    <sheet name="MTOR_AUTOPHAGY_LIPOPHAGY" sheetId="2" r:id="rId2"/>
    <sheet name="LIPOPHAGY_CORE" sheetId="3" r:id="rId3"/>
    <sheet name="VIC_OSTEOGENIC" sheetId="4" r:id="rId4"/>
    <sheet name="S100A9_RAGE_CALCIFICATION" sheetId="5" r:id="rId5"/>
    <sheet name="jaccard_check" sheetId="6" r:id="rId6"/>
    <sheet name="master" sheetId="7" r:id="rId7"/>
    <sheet name="_ALL_ROWS" sheetId="8" r:id="rId8"/>
    <sheet name="_PMID_DUPS" sheetId="9" r:id="rId9"/>
    <sheet name="_HGNC_REF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9" i="8" l="1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F10" i="6"/>
  <c r="E10" i="6"/>
  <c r="D10" i="6"/>
  <c r="C10" i="6"/>
  <c r="B10" i="6"/>
  <c r="E8" i="6"/>
  <c r="D8" i="6"/>
  <c r="C8" i="6"/>
  <c r="B8" i="6"/>
  <c r="F7" i="6"/>
  <c r="B24" i="6" s="1"/>
  <c r="D7" i="6"/>
  <c r="C7" i="6"/>
  <c r="B7" i="6"/>
  <c r="F6" i="6"/>
  <c r="B23" i="6" s="1"/>
  <c r="E6" i="6"/>
  <c r="B22" i="6" s="1"/>
  <c r="C6" i="6"/>
  <c r="B6" i="6"/>
  <c r="F5" i="6"/>
  <c r="B21" i="6" s="1"/>
  <c r="E5" i="6"/>
  <c r="B20" i="6" s="1"/>
  <c r="D5" i="6"/>
  <c r="B19" i="6" s="1"/>
  <c r="B5" i="6"/>
  <c r="F4" i="6"/>
  <c r="B18" i="6" s="1"/>
  <c r="E4" i="6"/>
  <c r="B17" i="6" s="1"/>
  <c r="D4" i="6"/>
  <c r="B16" i="6" s="1"/>
  <c r="C4" i="6"/>
  <c r="B15" i="6" s="1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<sst xmlns="http://schemas.openxmlformats.org/spreadsheetml/2006/main" count="1847" uniqueCount="602">
  <si>
    <t>gene_symbol</t>
  </si>
  <si>
    <t>PMID</t>
  </si>
  <si>
    <t>citation_short</t>
  </si>
  <si>
    <t>rationale_one_line</t>
  </si>
  <si>
    <t>HGNC_ID</t>
  </si>
  <si>
    <t>LEP</t>
  </si>
  <si>
    <t>Liu &amp; Lai 2022 Med Rev</t>
  </si>
  <si>
    <t>Encodes leptin secreted by adipocytes, ligand of LEPR that initiates JAK2–STAT and PI3K–AKT–mTOR signaling.</t>
  </si>
  <si>
    <t>LEPR</t>
  </si>
  <si>
    <t>Leptin receptor long isoform whose cytoplasmic tyrosines recruit JAK2, STAT3/5 and IRS proteins to trigger downstream pathways.</t>
  </si>
  <si>
    <t>JAK2</t>
  </si>
  <si>
    <t>Tyrosine kinase pre-associated with LEPR that autophosphorylates and phosphorylates LEPR tails upon leptin binding.</t>
  </si>
  <si>
    <t>STAT3</t>
  </si>
  <si>
    <t>Transcription factor recruited to LEPR Tyr1138 and phosphorylated by JAK2, then dimerizes to induce SOCS3 and other target genes.</t>
  </si>
  <si>
    <t>PIK3CA</t>
  </si>
  <si>
    <t>Saxton &amp; Sabatini 2017 Cell</t>
  </si>
  <si>
    <t>Catalytic subunit p110α of class IA PI3K that generates PIP3 after binding IRS adaptors downstream of leptin.</t>
  </si>
  <si>
    <t>PIK3CB</t>
  </si>
  <si>
    <t>Catalytic subunit p110β of PI3K that can sustain PIP3 and AKT activation especially when PTEN activity is low.</t>
  </si>
  <si>
    <t>AKT1</t>
  </si>
  <si>
    <t>Serine/threonine kinase activated by PDK1 and mTORC2 that phosphorylates TSC2 to relieve its inhibition of RHEB–mTORC1.</t>
  </si>
  <si>
    <t>AKT2</t>
  </si>
  <si>
    <t>AKT isoform dominant in metabolic tissues, phosphorylating TSC2 and FOXO1 to couple leptin/insulin signals to mTORC1 and glucose metabolism.</t>
  </si>
  <si>
    <t>MTOR</t>
  </si>
  <si>
    <t>Catalytic subunit of mTORC1/2 that integrates leptin-driven PI3K–AKT input with nutrients to control protein synthesis and autophagy.</t>
  </si>
  <si>
    <t>RPTOR</t>
  </si>
  <si>
    <t>Scaffold subunit defining mTORC1 that recruits substrates such as S6K1 and 4E-BP1 for phosphorylation by mTOR.</t>
  </si>
  <si>
    <t>DEPTOR</t>
  </si>
  <si>
    <t>Endogenous inhibitor that binds mTORC1/2 and lowers S6K1/4E-BP1 phosphorylation while relieving negative feedback to PI3K–AKT.</t>
  </si>
  <si>
    <t>TSC1</t>
  </si>
  <si>
    <t>Stabilizing partner of TSC2 forming a GAP complex that converts RHEB-GTP to RHEB-GDP and thereby suppresses mTORC1 when active.</t>
  </si>
  <si>
    <t>TSC2</t>
  </si>
  <si>
    <t>GAP for RHEB whose phosphorylation by AKT inactivates the TSC complex and permits RHEB-dependent mTORC1 activation.</t>
  </si>
  <si>
    <t>RHEB</t>
  </si>
  <si>
    <t>Lysosomal small GTPase that in its GTP-bound form directly binds and activates mTORC1.</t>
  </si>
  <si>
    <t>RPS6KB1</t>
  </si>
  <si>
    <t>p70S6K1, canonical mTORC1 substrate phosphorylated on Thr389 that then phosphorylates ribosomal protein S6 to boost translation.</t>
  </si>
  <si>
    <t>EIF4EBP1</t>
  </si>
  <si>
    <t>4E-BP1 translational repressor whose multisite phosphorylation by mTORC1 releases eIF4E to initiate cap-dependent translation.</t>
  </si>
  <si>
    <t>RPS6</t>
  </si>
  <si>
    <t>40S ribosomal protein S6 phosphorylated by activated S6K1 to enhance translation of mRNAs encoding ribosomal and elongation factors.</t>
  </si>
  <si>
    <t>SOCS3</t>
  </si>
  <si>
    <t>Suppressor of cytokine signaling induced by leptin–STAT3 that binds LEPR–JAK2 and blocks further signaling as a negative feedback loop.</t>
  </si>
  <si>
    <t>IRS1</t>
  </si>
  <si>
    <t>Insulin receptor substrate phosphorylated on tyrosines to recruit PI3K, but also on serines by S6K1 to attenuate leptin/insulin signaling.</t>
  </si>
  <si>
    <t>IRS2</t>
  </si>
  <si>
    <t>IRS family member particularly important in hypothalamus and liver that couples leptin/insulin receptors to PI3K–AKT–mTOR activation.</t>
  </si>
  <si>
    <t>PTEN</t>
  </si>
  <si>
    <t>Lipid phosphatase that dephosphorylates PIP3 to PIP2, directly opposing PI3K and restraining AKT–mTORC1 signaling strength.</t>
  </si>
  <si>
    <t>FOXO1</t>
  </si>
  <si>
    <t>Forkhead transcription factor phosphorylated by AKT at Thr24 leading to nuclear export and suppression of its gluconeogenic and anti-anabolic programs.</t>
  </si>
  <si>
    <t>ULK1</t>
  </si>
  <si>
    <t>Levine &amp; Kroemer 2019 Cell</t>
  </si>
  <si>
    <t>Ser/Thr kinase at the apex of the autophagy initiation complex that is directly phosphorylated by mTORC1 at Ser757 to block its activation by AMPK and suppress autophagy under nutrient-rich conditions.</t>
  </si>
  <si>
    <t>ATG13</t>
  </si>
  <si>
    <t>ULK1 complex subunit that binds ULK1 and FIP200 and is phosphorylated by mTORC1 as well as ULK1, thereby coupling nutrient status to autophagy initiation.</t>
  </si>
  <si>
    <t>RB1CC1</t>
  </si>
  <si>
    <t>FIP200 scaffold protein in the ULK1–ATG13–ATG101 complex that organizes the kinase module at phagophore formation sites downstream of mTORC1.</t>
  </si>
  <si>
    <t>TFEB</t>
  </si>
  <si>
    <t>Master MiT/TFE transcription factor whose phosphorylation by lysosomal mTORC1 keeps it cytoplasmic; dephosphorylation allows nuclear entry to induce autophagy and lysosome genes.</t>
  </si>
  <si>
    <t>TFE3</t>
  </si>
  <si>
    <t>TFEB paralog that is similarly controlled by mTORC1-dependent phosphorylation and drives a largely overlapping autophagy–lysosome transcriptional program.</t>
  </si>
  <si>
    <t>BECN1</t>
  </si>
  <si>
    <t>Core scaffold of the class III PI3K (PIK3C3) complex that generates PI3P at nascent autophagosomes downstream of the ULK1 complex.</t>
  </si>
  <si>
    <t>ATG14</t>
  </si>
  <si>
    <t>Autophagy-specific subunit of the VPS34–BECN1 complex that targets PI3P production to isolation membranes and omegasomes for autophagosome nucleation.</t>
  </si>
  <si>
    <t>PIK3C3</t>
  </si>
  <si>
    <t>Class III PI3K VPS34 that produces PI3P on phagophore membranes, recruiting WIPI proteins once activated by the ULK1–BECN1–ATG14 axis.</t>
  </si>
  <si>
    <t>ATG7</t>
  </si>
  <si>
    <t>E1-like enzyme for both ATG12 and ATG8 (LC3/GABARAP) conjugation systems, essential for LC3 lipidation and autophagosome expansion.</t>
  </si>
  <si>
    <t>ATG5</t>
  </si>
  <si>
    <t>Forms a covalent conjugate with ATG12 that acts as an E3-like ligase to promote LC3 lipidation and autophagosome membrane elongation.</t>
  </si>
  <si>
    <t>ATG12</t>
  </si>
  <si>
    <t>Ubiquitin-like protein conjugated to ATG5, creating the ATG12–ATG5–ATG16L1 complex required for LC3 lipidation.</t>
  </si>
  <si>
    <t>ATG16L1</t>
  </si>
  <si>
    <t>Coiled-coil protein that dimerizes and tethers ATG12–ATG5 to phagophore membranes, spatially defining sites of LC3 conjugation.</t>
  </si>
  <si>
    <t>SQSTM1</t>
  </si>
  <si>
    <t>Selective autophagy receptor p62 that binds polyubiquitylated cargo via its UBA domain and LC3 via its LIR motif to deliver aggregates to autophagosomes.</t>
  </si>
  <si>
    <t>RAB7A</t>
  </si>
  <si>
    <t>Late endosomal/lysosomal Rab GTPase that promotes autophagosome–lysosome fusion and proper lysosomal morphology, thereby enabling degradation of autophagic cargo.</t>
  </si>
  <si>
    <t>STX17</t>
  </si>
  <si>
    <t>SNARE protein recruited to completed autophagosomes that forms a STX17–SNAP47–VAMP7/8 complex to drive autophagosome–lysosome membrane fusion.</t>
  </si>
  <si>
    <t>WIPI1</t>
  </si>
  <si>
    <t>PI3P-binding effector at nascent autophagosomes that decodes the VPS34-generated PI3P signal and participates in early phagophore formation.</t>
  </si>
  <si>
    <t>WIPI2</t>
  </si>
  <si>
    <t>WIPI family member that binds PI3P and directly recruits the ATG12–ATG5–ATG16L1 complex, thereby coupling PI3K signaling to LC3 lipidation.</t>
  </si>
  <si>
    <t>PRKAA1</t>
  </si>
  <si>
    <t>AMPKα1 catalytic subunit that phosphorylates ULK1 on activating sites while mTORC1 phosphorylates ULK1 on Ser757, together forming a regulatory triangle controlling autophagy induction.</t>
  </si>
  <si>
    <t>ZKSCAN3</t>
  </si>
  <si>
    <t>Li &amp; Wen 2023 Int J Mol Sci</t>
  </si>
  <si>
    <t>Zinc-finger transcription factor that acts as a master repressor of autophagy and lysosome genes, functioning as a TFEB antagonist in nutrient-replete cells.</t>
  </si>
  <si>
    <t>MCOLN1</t>
  </si>
  <si>
    <t>Tedeschi &amp; Sapienza 2025 Curr Neuropharmacol</t>
  </si>
  <si>
    <t>Lysosomal Ca2+ channel TRPML1 whose ROS- or nutrient-induced activation releases Ca2+ to activate calcineurin, driving TFEB dephosphorylation and nuclear translocation to enhance autophagy.</t>
  </si>
  <si>
    <t>PLIN2</t>
  </si>
  <si>
    <t>Singh &amp; Cuervo 2012 Int J Cell Biol</t>
  </si>
  <si>
    <t>Constitutive lipid-droplet coat protein whose CMA-mediated removal or loss exposes droplets to autophagy and lipases, thereby permitting lipophagy-driven TG hydrolysis.</t>
  </si>
  <si>
    <t>PLIN3</t>
  </si>
  <si>
    <t>Filali-Mouncef &amp; Hunter 2022 Autophagy</t>
  </si>
  <si>
    <t>Perilipin family coat protein phosphorylated by mTORC1 and required for recruiting FIP200 and ATG16L1 to lipid droplets, acting as a docking platform to activate lipophagy.</t>
  </si>
  <si>
    <t>PLIN5</t>
  </si>
  <si>
    <t>Lipid-droplet protein that forms contact sites with mitochondria and FATP4 to channel lipolysis/lipophagy-derived fatty acids toward oxidative metabolism.</t>
  </si>
  <si>
    <t>CIDEA</t>
  </si>
  <si>
    <t>Olzmann &amp; Carvalho 2019 Nat Rev Mol Cell Biol</t>
  </si>
  <si>
    <t>Brown adipocyte lipid-droplet protein that promotes LD fusion and enlargement, increasing the size of droplets that subsequently require autophagic or lysosomal clearance.</t>
  </si>
  <si>
    <t>CIDEC</t>
  </si>
  <si>
    <t>White adipocyte LD fusion protein (FSP27) that drives growth of unilocular droplets, limiting neutral lipase access and shaping the substrate pool for lipophagy.</t>
  </si>
  <si>
    <t>FITM2</t>
  </si>
  <si>
    <t>ER membrane protein that interacts with tubule-forming proteins to organize sites of nascent lipid-droplet biogenesis, thereby setting up the LD population targeted by lipophagy.</t>
  </si>
  <si>
    <t>DGAT1</t>
  </si>
  <si>
    <t>Acyl-CoA:diacylglycerol acyltransferase catalyzing the final step of TAG synthesis for lipid droplet formation, affecting the amount and distribution of LD cargo available for lipophagy.</t>
  </si>
  <si>
    <t>DGAT2</t>
  </si>
  <si>
    <t>DGAT isoform that preferentially directs TAG into cytoplasmic lipid droplets, modulating LD size and proteome in ways that influence lipophagic flux.</t>
  </si>
  <si>
    <t>PNPLA2</t>
  </si>
  <si>
    <t>Adipose triglyceride lipase on LD surfaces that hydrolyzes TAG and functionally cooperates with lipophagy, with perilipin degradation enabling ATGL access.</t>
  </si>
  <si>
    <t>LIPA</t>
  </si>
  <si>
    <t>Lysosomal acid lipase that hydrolyzes cholesteryl esters and triglycerides within lysosomes, executing the terminal lipid breakdown step after lipophagic delivery of droplets.</t>
  </si>
  <si>
    <t>LIPE</t>
  </si>
  <si>
    <t>Hormone-sensitive lipase that mediates cytosolic neutral lipolysis and cross-talks with lipophagy by processing droplets whose coats have been remodeled by autophagy.</t>
  </si>
  <si>
    <t>MAP1LC3B</t>
  </si>
  <si>
    <t>ATG8 family protein LC3B that becomes lipidated on autophagosomal membranes and is specifically recruited to lipid droplets during lipophagy to mark droplet-engulfing autophagosomes.</t>
  </si>
  <si>
    <t>GABARAPL1</t>
  </si>
  <si>
    <t>LC3 paralog enriched on autophagosomal membranes that contributes to maturation and fusion of lipophagy-derived autophagosomes with lysosomes.</t>
  </si>
  <si>
    <t>LAMP2</t>
  </si>
  <si>
    <t>Lysosomal membrane glycoprotein essential for autolysosome formation and acid hydrolase function, required for efficient degradation of lipid droplets delivered by lipophagy.</t>
  </si>
  <si>
    <t>Late endosomal/lysosomal Rab GTPase that drives movement and fusion of LD-containing autophagosomes with lysosomes in lipophagy pathways.</t>
  </si>
  <si>
    <t>CD36</t>
  </si>
  <si>
    <t>Rupert &amp; Kolonin 2022 Immunometabolism</t>
  </si>
  <si>
    <t>Fatty-acid translocase that mediates caveolae-dependent FA uptake and promotes lipid-droplet growth, thus regulating the load of lipophagy substrates in adipocytes.</t>
  </si>
  <si>
    <t>FABP4</t>
  </si>
  <si>
    <t>Adipocyte fatty-acid binding protein that shuttles lipolysis or lipophagy-derived fatty acids to mitochondria and other organelles for oxidation or re-esterification.</t>
  </si>
  <si>
    <t>CPT1A</t>
  </si>
  <si>
    <t>Carnitine palmitoyltransferase 1A on the outer mitochondrial membrane that imports long-chain acyl-CoAs for β-oxidation, consuming fatty acids released by lipophagy.</t>
  </si>
  <si>
    <t>PPARA</t>
  </si>
  <si>
    <t>Nuclear receptor that transcriptionally coordinates fatty-acid oxidation and autophagy, including induction of genes that promote hepatic lipophagy during fasting.</t>
  </si>
  <si>
    <t>PNPLA8</t>
  </si>
  <si>
    <t>Hara &amp; Yoda 2019 Biochim Biophys Acta Mol Cell Biol Lipids</t>
  </si>
  <si>
    <t>Patatin-like phospholipase implicated in promoting lipophagy by mobilizing lipids from droplets and providing lipid building blocks for autophagosomal membranes.</t>
  </si>
  <si>
    <t>GPAM</t>
  </si>
  <si>
    <t>Cao &amp; Konrad 2012 Endocr Metab Immune Disord Drug Targets</t>
  </si>
  <si>
    <t>Glycerol-3-phosphate acyltransferase that commits fatty acyl groups to TAG synthesis upstream of lipid droplet biogenesis.</t>
  </si>
  <si>
    <t>PLIN4</t>
  </si>
  <si>
    <t>Lipid-droplet coat protein that stabilizes large neutral-lipid stores and shapes the substrate pool available for lipophagy.</t>
  </si>
  <si>
    <t>SPP1</t>
  </si>
  <si>
    <t>Moncla &amp; Briend 2023 Nat Rev Cardiol</t>
  </si>
  <si>
    <t>Osteopontin matrix protein that binds mineral and integrins, promoting osteogenic matrix remodeling and appearing readily in calcifying VIC leading edges.</t>
  </si>
  <si>
    <t>IBSP</t>
  </si>
  <si>
    <t>Bone sialoprotein that nucleates hydroxyapatite through its acidic and integrin-binding motifs and is a classic top-hit osteogenic marker.</t>
  </si>
  <si>
    <t>RUNX2</t>
  </si>
  <si>
    <t>Master osteogenic transcription factor that drives VIC transition into an osteoblast-like program and activates SP7, ALPL and other mineralization genes.</t>
  </si>
  <si>
    <t>ALPL</t>
  </si>
  <si>
    <t>Tissue-nonspecific alkaline phosphatase that hydrolyzes pyrophosphate and increases local inorganic phosphate to favor hydroxyapatite deposition.</t>
  </si>
  <si>
    <t>BMP2</t>
  </si>
  <si>
    <t>BMP ligand that activates SMAD signaling and induces RUNX2-dependent osteogenic reprogramming in valve interstitial cells.</t>
  </si>
  <si>
    <t>BGLAP</t>
  </si>
  <si>
    <t>Late osteoblast marker osteocalcin whose expression reflects mature mineralizing programs and is often absent from top DEG lists, making it useful as a non-circular add-in.</t>
  </si>
  <si>
    <t>COL1A1</t>
  </si>
  <si>
    <t>Type I collagen alpha-1 chain that builds the osteoid-like ECM scaffold and is frequently elevated during fibrotic-to-osteogenic VIC conversion.</t>
  </si>
  <si>
    <t>COL1A2</t>
  </si>
  <si>
    <t>Type I collagen alpha-2 chain that pairs with COL1A1 to form the collagenous matrix supporting mineral deposition.</t>
  </si>
  <si>
    <t>SP7</t>
  </si>
  <si>
    <t>RUNX2 downstream osteogenic transcription factor Osterix that is required for maturation of osteoblast-like VICs.</t>
  </si>
  <si>
    <t>DLX5</t>
  </si>
  <si>
    <t>BMP-responsive homeobox factor that cooperates with RUNX2 to activate osteogenic gene expression programs.</t>
  </si>
  <si>
    <t>MSX2</t>
  </si>
  <si>
    <t>Developmental homeobox factor linked to pro-calcific reprogramming in valves and bone-forming lineages.</t>
  </si>
  <si>
    <t>ATF4</t>
  </si>
  <si>
    <t>Osteoblast transcription factor that supports matrix protein synthesis and late-stage mineralization.</t>
  </si>
  <si>
    <t>MGP</t>
  </si>
  <si>
    <t>Pan &amp; Jie 2023 MedComm</t>
  </si>
  <si>
    <t>Matrix Gla protein that directly binds nascent hydroxyapatite and antagonizes BMP signaling, acting as a potent anti-calcification brake.</t>
  </si>
  <si>
    <t>ENPP1</t>
  </si>
  <si>
    <t>Ectonucleotide pyrophosphatase that generates extracellular pyrophosphate, the key soluble inhibitor of mineralization.</t>
  </si>
  <si>
    <t>ANKH</t>
  </si>
  <si>
    <t>Pyrophosphate transport regulator that exports PPi to the extracellular compartment to restrain crystal growth.</t>
  </si>
  <si>
    <t>PHOSPHO1</t>
  </si>
  <si>
    <t>Matrix-vesicle phosphatase that produces inorganic phosphate required for hydroxyapatite nucleation.</t>
  </si>
  <si>
    <t>SLC20A1</t>
  </si>
  <si>
    <t>PiT1 phosphate importer that raises intracellular phosphate and is required for phosphate-driven osteochondrogenic switching.</t>
  </si>
  <si>
    <t>SLC20A2</t>
  </si>
  <si>
    <t>PiT2 phosphate transporter that regulates phosphate flux and modulates calcification susceptibility.</t>
  </si>
  <si>
    <t>BMP4</t>
  </si>
  <si>
    <t>BMP family ligand that engages SMAD signaling and promotes osteogenic differentiation of VICs.</t>
  </si>
  <si>
    <t>WNT3A</t>
  </si>
  <si>
    <t>Canonical Wnt ligand that stabilizes beta-catenin to activate osteogenic transcription in calcifying valve cells.</t>
  </si>
  <si>
    <t>WNT5A</t>
  </si>
  <si>
    <t>Non-canonical Wnt ligand that rewires VIC signaling and supports pro-osteogenic, pro-inflammatory states.</t>
  </si>
  <si>
    <t>TGFB1</t>
  </si>
  <si>
    <t>TGF-beta ligand that drives VIC activation, ECM remodeling and pro-calcific phenotypic switching.</t>
  </si>
  <si>
    <t>LRP5</t>
  </si>
  <si>
    <t>Wnt co-receptor that transduces canonical Wnt signals to beta-catenin during osteogenic reprogramming.</t>
  </si>
  <si>
    <t>LRP6</t>
  </si>
  <si>
    <t>Wnt co-receptor that cooperates with LRP5 to amplify canonical Wnt signaling and mineralization.</t>
  </si>
  <si>
    <t>NOTCH1</t>
  </si>
  <si>
    <t>Protective anti-osteogenic valve gene whose loss derepresses BMP2 and allows calcific reprogramming.</t>
  </si>
  <si>
    <t>KLF4</t>
  </si>
  <si>
    <t>State-controlling transcription factor that modulates VIC quiescence versus activation and influences calcification susceptibility.</t>
  </si>
  <si>
    <t>POSTN</t>
  </si>
  <si>
    <t>Periostin ECM protein that helps organize valve matrix and is induced during activated, remodeling VIC states.</t>
  </si>
  <si>
    <t>S100A8</t>
  </si>
  <si>
    <t>Averill &amp; Kerkhoff 2012 Arterioscler Thromb Vasc Biol</t>
  </si>
  <si>
    <t>Calprotectin partner of S100A9 that forms the heterodimeric DAMP complex and helps engage RAGE/TLR4 signaling.</t>
  </si>
  <si>
    <t>S100A9</t>
  </si>
  <si>
    <t>Myeloid DAMP that signals through RAGE and TLR4 to activate NF-kB-dependent inflammatory programs.</t>
  </si>
  <si>
    <t>AGER</t>
  </si>
  <si>
    <t>Kay &amp; Simpson 2016 J Diabetes Res</t>
  </si>
  <si>
    <t>RAGE receptor that binds S100A8/A9 and transduces NF-kB and PI3K signaling in inflammatory calcification contexts.</t>
  </si>
  <si>
    <t>TLR4</t>
  </si>
  <si>
    <t>Yu &amp; Lin 2020 Signal Transduct Target Ther</t>
  </si>
  <si>
    <t>Alternative receptor for S100A8/A9 that initiates MyD88-dependent inflammatory signaling.</t>
  </si>
  <si>
    <t>MYD88</t>
  </si>
  <si>
    <t>Adaptor recruited by TLR4 to assemble the IRAK–TRAF6 complex that activates NF-kB.</t>
  </si>
  <si>
    <t>NFKB1</t>
  </si>
  <si>
    <t>NF-kB p50 subunit that dimerizes with RELA to drive transcription of inflammatory cytokines and chemokines.</t>
  </si>
  <si>
    <t>RELA</t>
  </si>
  <si>
    <t>NF-kB p65 subunit that mediates inflammatory gene activation downstream of RAGE/TLR4/MyD88.</t>
  </si>
  <si>
    <t>NFKBIA</t>
  </si>
  <si>
    <t>IkB alpha inhibitor that retains NF-kB in the cytoplasm until phosphorylated and degraded after receptor stimulation.</t>
  </si>
  <si>
    <t>TNF</t>
  </si>
  <si>
    <t>Pro-inflammatory cytokine induced by NF-kB that amplifies the inflammatory circuit in calcifying lesions.</t>
  </si>
  <si>
    <t>IL1B</t>
  </si>
  <si>
    <t>Inflammasome-linked cytokine that promotes osteogenic and inflammatory activation in calcification microenvironments.</t>
  </si>
  <si>
    <t>IL6</t>
  </si>
  <si>
    <t>NF-kB-responsive cytokine that engages JAK-STAT signaling and reinforces inflammatory calcification programs.</t>
  </si>
  <si>
    <t>CXCL8</t>
  </si>
  <si>
    <t>Chemokine that recruits neutrophils and myeloid cells, sustaining inflammatory remodeling in calcified tissue.</t>
  </si>
  <si>
    <t>MMP9</t>
  </si>
  <si>
    <t>Yabluchanskiy &amp; Ma 2013 Physiology</t>
  </si>
  <si>
    <t>Matrix metalloproteinase that remodels extracellular matrix and facilitates inflammatory and calcific tissue remodeling.</t>
  </si>
  <si>
    <t>NOS2</t>
  </si>
  <si>
    <t>Inducible nitric oxide synthase that generates reactive nitrogen species and links inflammatory signaling to oxidative stress.</t>
  </si>
  <si>
    <t>NLRP3</t>
  </si>
  <si>
    <t>Swanson &amp; Deng 2019 Nat Rev Immunol</t>
  </si>
  <si>
    <t>Inflammasome sensor that integrates danger signals to drive caspase-1 activation and IL-1 family maturation.</t>
  </si>
  <si>
    <t>CASP1</t>
  </si>
  <si>
    <t>Inflammasome effector protease that cleaves pro-IL-1beta and pro-IL-18 to produce active cytokines.</t>
  </si>
  <si>
    <t>IL18</t>
  </si>
  <si>
    <t>Grebe &amp; Hoss 2018 Circ Res</t>
  </si>
  <si>
    <t>Inflammasome product cytokine that amplifies sterile inflammation and can contribute to calcification-associated immune activation.</t>
  </si>
  <si>
    <r>
      <rPr>
        <b/>
        <sz val="11"/>
        <rFont val="Cambria"/>
        <family val="1"/>
      </rPr>
      <t>Jaccard matrix (</t>
    </r>
    <r>
      <rPr>
        <b/>
        <sz val="11"/>
        <rFont val="Noto Sans CJK SC"/>
        <family val="2"/>
      </rPr>
      <t>公式实时计算，</t>
    </r>
    <r>
      <rPr>
        <b/>
        <sz val="11"/>
        <rFont val="Cambria"/>
        <family val="1"/>
      </rPr>
      <t xml:space="preserve">master </t>
    </r>
    <r>
      <rPr>
        <b/>
        <sz val="11"/>
        <rFont val="Noto Sans CJK SC"/>
        <family val="2"/>
      </rPr>
      <t>改动会同步</t>
    </r>
    <r>
      <rPr>
        <b/>
        <sz val="11"/>
        <rFont val="Cambria"/>
        <family val="1"/>
      </rPr>
      <t>)</t>
    </r>
  </si>
  <si>
    <t>CUSTOM_LEPTIN_MTOR_SIGNALING</t>
  </si>
  <si>
    <t>CUSTOM_MTOR_AUTOPHAGY_LIPOPHAGY_AXIS</t>
  </si>
  <si>
    <t>CUSTOM_LIPOPHAGY_CORE</t>
  </si>
  <si>
    <t>CUSTOM_VIC_OSTEOGENIC_DIFFERENTIATION</t>
  </si>
  <si>
    <t>CUSTOM_S100A9_RAGE_CALCIFICATION</t>
  </si>
  <si>
    <t>set size (n genes)</t>
  </si>
  <si>
    <r>
      <rPr>
        <b/>
        <sz val="11"/>
        <rFont val="Cambria"/>
        <family val="1"/>
      </rPr>
      <t xml:space="preserve">Pairwise overlap (shared_genes </t>
    </r>
    <r>
      <rPr>
        <b/>
        <sz val="11"/>
        <rFont val="Noto Sans CJK SC"/>
        <family val="2"/>
      </rPr>
      <t xml:space="preserve">是当前快照；改 </t>
    </r>
    <r>
      <rPr>
        <b/>
        <sz val="11"/>
        <rFont val="Cambria"/>
        <family val="1"/>
      </rPr>
      <t xml:space="preserve">master </t>
    </r>
    <r>
      <rPr>
        <b/>
        <sz val="11"/>
        <rFont val="Noto Sans CJK SC"/>
        <family val="2"/>
      </rPr>
      <t>后请重算</t>
    </r>
    <r>
      <rPr>
        <b/>
        <sz val="11"/>
        <rFont val="Cambria"/>
        <family val="1"/>
      </rPr>
      <t>)</t>
    </r>
  </si>
  <si>
    <t>pair</t>
  </si>
  <si>
    <t>jaccard</t>
  </si>
  <si>
    <t>n_shared</t>
  </si>
  <si>
    <t>shared_genes</t>
  </si>
  <si>
    <t>flag</t>
  </si>
  <si>
    <t>LEPTIN_MTOR  vs  MTOR_AUTOPHAGY</t>
  </si>
  <si>
    <t>(none)</t>
  </si>
  <si>
    <t>ok</t>
  </si>
  <si>
    <t>LEPTIN_MTOR  vs  LIPOPHAGY</t>
  </si>
  <si>
    <t>LEPTIN_MTOR  vs  VIC_OSTEOGENIC</t>
  </si>
  <si>
    <t>LEPTIN_MTOR  vs  S100A9_RAGE</t>
  </si>
  <si>
    <t>MTOR_AUTOPHAGY  vs  LIPOPHAGY</t>
  </si>
  <si>
    <t>MTOR_AUTOPHAGY  vs  VIC_OSTEOGENIC</t>
  </si>
  <si>
    <t>MTOR_AUTOPHAGY  vs  S100A9_RAGE</t>
  </si>
  <si>
    <t>LIPOPHAGY  vs  VIC_OSTEOGENIC</t>
  </si>
  <si>
    <t>LIPOPHAGY  vs  S100A9_RAGE</t>
  </si>
  <si>
    <t>VIC_OSTEOGENIC  vs  S100A9_RAGE</t>
  </si>
  <si>
    <t>gene_set</t>
  </si>
  <si>
    <t>curator_initials</t>
  </si>
  <si>
    <t>date_added</t>
  </si>
  <si>
    <t>2026-05-26</t>
  </si>
  <si>
    <t>genes</t>
  </si>
  <si>
    <t>gene_count</t>
  </si>
  <si>
    <t>36829083</t>
  </si>
  <si>
    <t>ALPL; ATF4; BGLAP; BMP2; BMP4; COL1A1; COL1A2; DLX5; IBSP; KLF4; LRP5; LRP6; MSX2; NOTCH1; POSTN; RUNX2; SP7; SPP1; TGFB1; WNT3A; WNT5A</t>
  </si>
  <si>
    <t>28283069</t>
  </si>
  <si>
    <t>AKT1; AKT2; DEPTOR; EIF4EBP1; MTOR; PIK3CA; PIK3CB; PRKAA1; PTEN; RHEB; RPS6; RPS6KB1; RPTOR; TFE3; TFEB; TSC1; TSC2</t>
  </si>
  <si>
    <t>30633901</t>
  </si>
  <si>
    <t>ATG12; ATG13; ATG14; ATG16L1; ATG5; ATG7; BECN1; GABARAPL1; PIK3C3; RAB7A; RB1CC1; SQSTM1; STX17; ULK1; WIPI1; WIPI2</t>
  </si>
  <si>
    <t>32958760</t>
  </si>
  <si>
    <t>CXCL8; IL1B; IL6; MYD88; NFKB1; NFKBIA; NOS2; RELA; TLR4; TNF</t>
  </si>
  <si>
    <t>33794741</t>
  </si>
  <si>
    <t>CPT1A; LAMP2; LIPA; MAP1LC3B; PLIN3; PLIN5; PNPLA2; PPARA; RAB7A</t>
  </si>
  <si>
    <t>37724323</t>
  </si>
  <si>
    <t>FOXO1; IRS1; IRS2; JAK2; LEP; LEPR; SOCS3; STAT3</t>
  </si>
  <si>
    <t>30523332</t>
  </si>
  <si>
    <t>CIDEA; CIDEC; DGAT1; DGAT2; FABP4; FITM2; LIPE; PLIN4</t>
  </si>
  <si>
    <t>36620697</t>
  </si>
  <si>
    <t>ANKH; ENPP1; MGP; PHOSPHO1; SLC20A1; SLC20A2</t>
  </si>
  <si>
    <t>22095980</t>
  </si>
  <si>
    <t>S100A8; S100A9</t>
  </si>
  <si>
    <t>31036962</t>
  </si>
  <si>
    <t>CASP1; NLRP3</t>
  </si>
  <si>
    <t>Input</t>
  </si>
  <si>
    <t>Approved symbol</t>
  </si>
  <si>
    <t>HGNC ID</t>
  </si>
  <si>
    <t>Approved name</t>
  </si>
  <si>
    <t>Location</t>
  </si>
  <si>
    <t>HGNC:6553</t>
  </si>
  <si>
    <t>leptin</t>
  </si>
  <si>
    <t>7q32.1</t>
  </si>
  <si>
    <t>HGNC:6554</t>
  </si>
  <si>
    <t>leptin receptor</t>
  </si>
  <si>
    <t>1p31.3</t>
  </si>
  <si>
    <t>HGNC:6192</t>
  </si>
  <si>
    <t>Janus kinase 2</t>
  </si>
  <si>
    <t>9p24.1</t>
  </si>
  <si>
    <t>HGNC:11364</t>
  </si>
  <si>
    <t>signal transducer and activator of transcription 3</t>
  </si>
  <si>
    <t>17q21.2</t>
  </si>
  <si>
    <t>HGNC:8975</t>
  </si>
  <si>
    <t>phosphatidylinositol-4,5-bisphosphate 3-kinase catalytic subunit alpha</t>
  </si>
  <si>
    <t>3q26.32</t>
  </si>
  <si>
    <t>HGNC:8976</t>
  </si>
  <si>
    <t>phosphatidylinositol-4,5-bisphosphate 3-kinase catalytic subunit beta</t>
  </si>
  <si>
    <t>3q22.3</t>
  </si>
  <si>
    <t>HGNC:391</t>
  </si>
  <si>
    <t>AKT serine/threonine kinase 1</t>
  </si>
  <si>
    <t>14q32.33</t>
  </si>
  <si>
    <t>HGNC:392</t>
  </si>
  <si>
    <t>AKT serine/threonine kinase 2</t>
  </si>
  <si>
    <t>19q13.2</t>
  </si>
  <si>
    <t>HGNC:3942</t>
  </si>
  <si>
    <t>mechanistic target of rapamycin kinase</t>
  </si>
  <si>
    <t>1p36.22</t>
  </si>
  <si>
    <t>HGNC:30287</t>
  </si>
  <si>
    <t>regulatory associated protein of MTOR complex 1</t>
  </si>
  <si>
    <t>17q25.3</t>
  </si>
  <si>
    <t>HGNC:22953</t>
  </si>
  <si>
    <t>DEP domain containing MTOR interacting protein</t>
  </si>
  <si>
    <t>8q24.12</t>
  </si>
  <si>
    <t>HGNC:12362</t>
  </si>
  <si>
    <t>TSC complex subunit 1</t>
  </si>
  <si>
    <t>9q34.13</t>
  </si>
  <si>
    <t>HGNC:12363</t>
  </si>
  <si>
    <t>TSC complex subunit 2</t>
  </si>
  <si>
    <t>16p13.3</t>
  </si>
  <si>
    <t>HGNC:10011</t>
  </si>
  <si>
    <t>Ras homolog, mTORC1 binding</t>
  </si>
  <si>
    <t>7q36.1</t>
  </si>
  <si>
    <t>HGNC:10436</t>
  </si>
  <si>
    <t>ribosomal protein S6 kinase B1</t>
  </si>
  <si>
    <t>17q23.1</t>
  </si>
  <si>
    <t>HGNC:3288</t>
  </si>
  <si>
    <t>eukaryotic translation initiation factor 4E binding protein 1</t>
  </si>
  <si>
    <t>8p11.23</t>
  </si>
  <si>
    <t>HGNC:10429</t>
  </si>
  <si>
    <t>ribosomal protein S6</t>
  </si>
  <si>
    <t>9p22.1</t>
  </si>
  <si>
    <t>HGNC:19391</t>
  </si>
  <si>
    <t>suppressor of cytokine signaling 3</t>
  </si>
  <si>
    <t>HGNC:6125</t>
  </si>
  <si>
    <t>insulin receptor substrate 1</t>
  </si>
  <si>
    <t>2q36.3</t>
  </si>
  <si>
    <t>HGNC:6126</t>
  </si>
  <si>
    <t>insulin receptor substrate 2</t>
  </si>
  <si>
    <t>13q34</t>
  </si>
  <si>
    <t>HGNC:9588</t>
  </si>
  <si>
    <t>phosphatase and tensin homolog</t>
  </si>
  <si>
    <t>10q23.31</t>
  </si>
  <si>
    <t>HGNC:3819</t>
  </si>
  <si>
    <t>forkhead box O1</t>
  </si>
  <si>
    <t>13q14.11</t>
  </si>
  <si>
    <t>HGNC:248</t>
  </si>
  <si>
    <t>perilipin 2</t>
  </si>
  <si>
    <t>HGNC:16893</t>
  </si>
  <si>
    <t>perilipin 3</t>
  </si>
  <si>
    <t>19p13.3</t>
  </si>
  <si>
    <t>HGNC:33196</t>
  </si>
  <si>
    <t>perilipin 5</t>
  </si>
  <si>
    <t>HGNC:1976</t>
  </si>
  <si>
    <t>cell death inducing DFFA like effector a</t>
  </si>
  <si>
    <t>18p11.21</t>
  </si>
  <si>
    <t>HGNC:24229</t>
  </si>
  <si>
    <t>cell death inducing DFFA like effector c</t>
  </si>
  <si>
    <t>3p25.3</t>
  </si>
  <si>
    <t>HGNC:16135</t>
  </si>
  <si>
    <t>fat storage inducing transmembrane protein 2</t>
  </si>
  <si>
    <t>20q13.12</t>
  </si>
  <si>
    <t>HGNC:2843</t>
  </si>
  <si>
    <t>diacylglycerol O-acyltransferase 1</t>
  </si>
  <si>
    <t>8q24.3</t>
  </si>
  <si>
    <t>HGNC:16940</t>
  </si>
  <si>
    <t>diacylglycerol O-acyltransferase 2</t>
  </si>
  <si>
    <t>11q13.5</t>
  </si>
  <si>
    <t>HGNC:30802</t>
  </si>
  <si>
    <t>patatin like domain 2, triacylglycerol lipase</t>
  </si>
  <si>
    <t>11p15.5</t>
  </si>
  <si>
    <t>HGNC:6617</t>
  </si>
  <si>
    <t>lipase A, lysosomal acid type</t>
  </si>
  <si>
    <t>HGNC:6621</t>
  </si>
  <si>
    <t>lipase E, hormone sensitive type</t>
  </si>
  <si>
    <t>HGNC:13352</t>
  </si>
  <si>
    <t>microtubule associated protein 1 light chain 3 beta</t>
  </si>
  <si>
    <t>16q24.2</t>
  </si>
  <si>
    <t>HGNC:4068</t>
  </si>
  <si>
    <t>GABA type A receptor associated protein like 1</t>
  </si>
  <si>
    <t>12p13.2</t>
  </si>
  <si>
    <t>HGNC:6501</t>
  </si>
  <si>
    <t>lysosome associated membrane protein 2</t>
  </si>
  <si>
    <t>Xq24</t>
  </si>
  <si>
    <t>HGNC:9788</t>
  </si>
  <si>
    <t>RAB7A, member RAS oncogene family</t>
  </si>
  <si>
    <t>3q21.3</t>
  </si>
  <si>
    <t>HGNC:1663</t>
  </si>
  <si>
    <t>CD36 molecule (CD36 blood group)</t>
  </si>
  <si>
    <t>7q21.11</t>
  </si>
  <si>
    <t>HGNC:3559</t>
  </si>
  <si>
    <t>fatty acid binding protein 4</t>
  </si>
  <si>
    <t>8q21.13</t>
  </si>
  <si>
    <t>HGNC:2328</t>
  </si>
  <si>
    <t>carnitine palmitoyltransferase 1A</t>
  </si>
  <si>
    <t>11q13.3</t>
  </si>
  <si>
    <t>HGNC:9232</t>
  </si>
  <si>
    <t>peroxisome proliferator activated receptor alpha</t>
  </si>
  <si>
    <t>22q13.31</t>
  </si>
  <si>
    <t>HGNC:28900</t>
  </si>
  <si>
    <t>patatin like domain 8, phospholipase A2</t>
  </si>
  <si>
    <t>7q31.1</t>
  </si>
  <si>
    <t>HGNC:24865</t>
  </si>
  <si>
    <t>glycerol-3-phosphate acyltransferase, mitochondrial</t>
  </si>
  <si>
    <t>10q25.2</t>
  </si>
  <si>
    <t>HGNC:29393</t>
  </si>
  <si>
    <t>perilipin 4</t>
  </si>
  <si>
    <t>HGNC:12558</t>
  </si>
  <si>
    <t>unc-51 like autophagy activating kinase 1</t>
  </si>
  <si>
    <t>12q24.33</t>
  </si>
  <si>
    <t>HGNC:29091</t>
  </si>
  <si>
    <t>autophagy related 13</t>
  </si>
  <si>
    <t>11p11.2</t>
  </si>
  <si>
    <t>HGNC:15574</t>
  </si>
  <si>
    <t>RB1 inducible coiled-coil 1</t>
  </si>
  <si>
    <t>8q11.23</t>
  </si>
  <si>
    <t>HGNC:11753</t>
  </si>
  <si>
    <t>transcription factor EB</t>
  </si>
  <si>
    <t>6p21.1</t>
  </si>
  <si>
    <t>HGNC:11752</t>
  </si>
  <si>
    <t>transcription factor binding to IGHM enhancer 3</t>
  </si>
  <si>
    <t>Xp11.23</t>
  </si>
  <si>
    <t>HGNC:1034</t>
  </si>
  <si>
    <t>beclin 1</t>
  </si>
  <si>
    <t>17q21.31</t>
  </si>
  <si>
    <t>HGNC:19962</t>
  </si>
  <si>
    <t>autophagy related 14</t>
  </si>
  <si>
    <t>14q22.3</t>
  </si>
  <si>
    <t>HGNC:8974</t>
  </si>
  <si>
    <t>phosphatidylinositol 3-kinase catalytic subunit type 3</t>
  </si>
  <si>
    <t>18q12.3</t>
  </si>
  <si>
    <t>HGNC:16935</t>
  </si>
  <si>
    <t>autophagy related 7</t>
  </si>
  <si>
    <t>HGNC:589</t>
  </si>
  <si>
    <t>autophagy related 5</t>
  </si>
  <si>
    <t>6q21</t>
  </si>
  <si>
    <t>HGNC:588</t>
  </si>
  <si>
    <t>autophagy related 12</t>
  </si>
  <si>
    <t>5q22.3</t>
  </si>
  <si>
    <t>HGNC:21498</t>
  </si>
  <si>
    <t>autophagy related 16 like 1</t>
  </si>
  <si>
    <t>2q37.1</t>
  </si>
  <si>
    <t>HGNC:11280</t>
  </si>
  <si>
    <t>sequestosome 1</t>
  </si>
  <si>
    <t>5q35.3</t>
  </si>
  <si>
    <t>HGNC:11432</t>
  </si>
  <si>
    <t>syntaxin 17</t>
  </si>
  <si>
    <t>9q31.1</t>
  </si>
  <si>
    <t>HGNC:25471</t>
  </si>
  <si>
    <t>WD repeat domain, phosphoinositide interacting 1</t>
  </si>
  <si>
    <t>17q24.2</t>
  </si>
  <si>
    <t>HGNC:32225</t>
  </si>
  <si>
    <t>WD repeat domain, phosphoinositide interacting 2</t>
  </si>
  <si>
    <t>7p22.1</t>
  </si>
  <si>
    <t>HGNC:9376</t>
  </si>
  <si>
    <t>protein kinase AMP-activated catalytic subunit alpha 1</t>
  </si>
  <si>
    <t>5p13.1</t>
  </si>
  <si>
    <t>HGNC:13853</t>
  </si>
  <si>
    <t>zinc finger with KRAB and SCAN domains 3</t>
  </si>
  <si>
    <t>6p22.1</t>
  </si>
  <si>
    <t>HGNC:13356</t>
  </si>
  <si>
    <t>mucolipin TRP cation channel 1</t>
  </si>
  <si>
    <t>19p13.2</t>
  </si>
  <si>
    <t>HGNC:11255</t>
  </si>
  <si>
    <t>secreted phosphoprotein 1</t>
  </si>
  <si>
    <t>4q22.1</t>
  </si>
  <si>
    <t>HGNC:5341</t>
  </si>
  <si>
    <t>integrin binding sialoprotein</t>
  </si>
  <si>
    <t>HGNC:10472</t>
  </si>
  <si>
    <t>RUNX family transcription factor 2</t>
  </si>
  <si>
    <t>HGNC:438</t>
  </si>
  <si>
    <t>alkaline phosphatase, biomineralization associated</t>
  </si>
  <si>
    <t>1p36.12</t>
  </si>
  <si>
    <t>HGNC:1069</t>
  </si>
  <si>
    <t>bone morphogenetic protein 2</t>
  </si>
  <si>
    <t>20p12.3</t>
  </si>
  <si>
    <t>HGNC:1043</t>
  </si>
  <si>
    <t>bone gamma-carboxyglutamate protein</t>
  </si>
  <si>
    <t>1q22</t>
  </si>
  <si>
    <t>HGNC:2197</t>
  </si>
  <si>
    <t>collagen type I alpha 1 chain</t>
  </si>
  <si>
    <t>17q21.33</t>
  </si>
  <si>
    <t>HGNC:2198</t>
  </si>
  <si>
    <t>collagen type I alpha 2 chain</t>
  </si>
  <si>
    <t>7q21.3</t>
  </si>
  <si>
    <t>HGNC:17321</t>
  </si>
  <si>
    <t>Sp7 transcription factor</t>
  </si>
  <si>
    <t>12q13.13</t>
  </si>
  <si>
    <t>HGNC:2918</t>
  </si>
  <si>
    <t>distal-less homeobox 5</t>
  </si>
  <si>
    <t>HGNC:7392</t>
  </si>
  <si>
    <t>msh homeobox 2</t>
  </si>
  <si>
    <t>5q35.2</t>
  </si>
  <si>
    <t>HGNC:786</t>
  </si>
  <si>
    <t>activating transcription factor 4</t>
  </si>
  <si>
    <t>22q13.1</t>
  </si>
  <si>
    <t>HGNC:7060</t>
  </si>
  <si>
    <t>matrix Gla protein</t>
  </si>
  <si>
    <t>12p12.3</t>
  </si>
  <si>
    <t>HGNC:3356</t>
  </si>
  <si>
    <t>ectonucleotide pyrophosphatase/phosphodiesterase 1</t>
  </si>
  <si>
    <t>6q23.2</t>
  </si>
  <si>
    <t>HGNC:15492</t>
  </si>
  <si>
    <t>ANKH inorganic pyrophosphate transport regulator</t>
  </si>
  <si>
    <t>5p15.2</t>
  </si>
  <si>
    <t>HGNC:16815</t>
  </si>
  <si>
    <t>phosphoethanolamine/phosphocholine phosphatase 1</t>
  </si>
  <si>
    <t>17q21.32</t>
  </si>
  <si>
    <t>HGNC:10946</t>
  </si>
  <si>
    <t>solute carrier family 20 member 1</t>
  </si>
  <si>
    <t>2q14.1</t>
  </si>
  <si>
    <t>HGNC:10947</t>
  </si>
  <si>
    <t>solute carrier family 20 member 2</t>
  </si>
  <si>
    <t>8p11.21</t>
  </si>
  <si>
    <t>HGNC:1071</t>
  </si>
  <si>
    <t>bone morphogenetic protein 4</t>
  </si>
  <si>
    <t>14q22.2</t>
  </si>
  <si>
    <t>HGNC:15983</t>
  </si>
  <si>
    <t>Wnt family member 3A</t>
  </si>
  <si>
    <t>1q42.13</t>
  </si>
  <si>
    <t>HGNC:12784</t>
  </si>
  <si>
    <t>Wnt family member 5A</t>
  </si>
  <si>
    <t>3p14.3</t>
  </si>
  <si>
    <t>HGNC:11766</t>
  </si>
  <si>
    <t>transforming growth factor beta 1</t>
  </si>
  <si>
    <t>HGNC:6697</t>
  </si>
  <si>
    <t>LDL receptor related protein 5</t>
  </si>
  <si>
    <t>11q13.2</t>
  </si>
  <si>
    <t>HGNC:6698</t>
  </si>
  <si>
    <t>LDL receptor related protein 6</t>
  </si>
  <si>
    <t>HGNC:7881</t>
  </si>
  <si>
    <t>notch receptor 1</t>
  </si>
  <si>
    <t>9q34.3</t>
  </si>
  <si>
    <t>HGNC:6348</t>
  </si>
  <si>
    <t>KLF transcription factor 4</t>
  </si>
  <si>
    <t>9q31.2</t>
  </si>
  <si>
    <t>HGNC:16953</t>
  </si>
  <si>
    <t>periostin</t>
  </si>
  <si>
    <t>13q13.3</t>
  </si>
  <si>
    <t>HGNC:10498</t>
  </si>
  <si>
    <t>S100 calcium binding protein A8</t>
  </si>
  <si>
    <t>1q21.3</t>
  </si>
  <si>
    <t>HGNC:10499</t>
  </si>
  <si>
    <t>S100 calcium binding protein A9</t>
  </si>
  <si>
    <t>HGNC:320</t>
  </si>
  <si>
    <t>advanced glycosylation end-product specific receptor</t>
  </si>
  <si>
    <t>6p21.32</t>
  </si>
  <si>
    <t>HGNC:11850</t>
  </si>
  <si>
    <t>toll like receptor 4</t>
  </si>
  <si>
    <t>9q33.1</t>
  </si>
  <si>
    <t>HGNC:7562</t>
  </si>
  <si>
    <t>MYD88 innate immune signal transduction adaptor</t>
  </si>
  <si>
    <t>3p22.2</t>
  </si>
  <si>
    <t>HGNC:7794</t>
  </si>
  <si>
    <t>nuclear factor kappa B subunit 1</t>
  </si>
  <si>
    <t>4q24</t>
  </si>
  <si>
    <t>HGNC:9955</t>
  </si>
  <si>
    <t>RELA proto-oncogene, NF-kB subunit</t>
  </si>
  <si>
    <t>11q13.1</t>
  </si>
  <si>
    <t>HGNC:7797</t>
  </si>
  <si>
    <t>NFKB inhibitor alpha</t>
  </si>
  <si>
    <t>14q13.2</t>
  </si>
  <si>
    <t>HGNC:11892</t>
  </si>
  <si>
    <t>tumor necrosis factor</t>
  </si>
  <si>
    <t>6p21.33</t>
  </si>
  <si>
    <t>HGNC:5992</t>
  </si>
  <si>
    <t>interleukin 1 beta</t>
  </si>
  <si>
    <t>HGNC:6018</t>
  </si>
  <si>
    <t>interleukin 6</t>
  </si>
  <si>
    <t>7p15.3</t>
  </si>
  <si>
    <t>HGNC:6025</t>
  </si>
  <si>
    <t>C-X-C motif chemokine ligand 8</t>
  </si>
  <si>
    <t>4q13.3</t>
  </si>
  <si>
    <t>HGNC:7176</t>
  </si>
  <si>
    <t>matrix metallopeptidase 9</t>
  </si>
  <si>
    <t>HGNC:7873</t>
  </si>
  <si>
    <t>nitric oxide synthase 2</t>
  </si>
  <si>
    <t>17q11.2</t>
  </si>
  <si>
    <t>HGNC:16400</t>
  </si>
  <si>
    <t>NLR family pyrin domain containing 3</t>
  </si>
  <si>
    <t>1q44</t>
  </si>
  <si>
    <t>HGNC:1499</t>
  </si>
  <si>
    <t>caspase 1</t>
  </si>
  <si>
    <t>11q22.3</t>
  </si>
  <si>
    <t>HGNC:5986</t>
  </si>
  <si>
    <t>interleukin 18</t>
  </si>
  <si>
    <t>11q23.1</t>
  </si>
  <si>
    <t>LZY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</si>
</sst>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name val="Cambria"/>
      <family val="1"/>
    </font>
    <font>
      <sz val="11"/>
      <name val="Calibri"/>
      <family val="2"/>
    </font>
    <font>
      <b/>
      <sz val="11"/>
      <name val="Noto Sans CJK SC"/>
      <family val="2"/>
    </font>
    <font>
      <b/>
      <i/>
      <sz val="11"/>
      <name val="Cambria"/>
      <family val="1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indent="1"/>
    </xf>
    <xf numFmtId="0" fontId="3" fillId="0" borderId="0" xfId="0" applyFont="1" applyAlignment="1">
      <alignment vertical="top" wrapText="1"/>
    </xf>
    <xf numFmtId="2" fontId="0" fillId="0" borderId="0" xfId="0" applyNumberFormat="1"/>
    <xf numFmtId="176" fontId="0" fillId="0" borderId="0" xfId="0" applyNumberFormat="1"/>
    <xf numFmtId="0" fontId="5" fillId="0" borderId="0" xfId="0" applyFont="1"/>
    <xf numFmtId="1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EPTIN_MTOR" displayName="LEPTIN_MTOR" ref="A1:D23" totalsRowShown="0">
  <autoFilter ref="A1:D23" xr:uid="{00000000-0009-0000-0100-000002000000}"/>
  <tableColumns count="4">
    <tableColumn id="1" xr3:uid="{00000000-0010-0000-0000-000001000000}" name="gene_symbol"/>
    <tableColumn id="2" xr3:uid="{00000000-0010-0000-0000-000002000000}" name="PMID"/>
    <tableColumn id="3" xr3:uid="{00000000-0010-0000-0000-000003000000}" name="citation_short"/>
    <tableColumn id="4" xr3:uid="{00000000-0010-0000-0000-000004000000}" name="rationale_one_li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MTOR_AUTOPHAGY_LIPOPHAGY" displayName="MTOR_AUTOPHAGY_LIPOPHAGY" ref="A1:D21" totalsRowShown="0">
  <autoFilter ref="A1:D21" xr:uid="{00000000-0009-0000-0100-000004000000}"/>
  <tableColumns count="4">
    <tableColumn id="1" xr3:uid="{00000000-0010-0000-0100-000001000000}" name="gene_symbol"/>
    <tableColumn id="2" xr3:uid="{00000000-0010-0000-0100-000002000000}" name="PMID"/>
    <tableColumn id="3" xr3:uid="{00000000-0010-0000-0100-000003000000}" name="citation_short"/>
    <tableColumn id="4" xr3:uid="{00000000-0010-0000-0100-000004000000}" name="rationale_one_lin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POPHAGY_CORE" displayName="LIPOPHAGY_CORE" ref="A1:D23" totalsRowShown="0">
  <autoFilter ref="A1:D23" xr:uid="{00000000-0009-0000-0100-000003000000}"/>
  <tableColumns count="4">
    <tableColumn id="1" xr3:uid="{00000000-0010-0000-0200-000001000000}" name="gene_symbol"/>
    <tableColumn id="2" xr3:uid="{00000000-0010-0000-0200-000002000000}" name="PMID"/>
    <tableColumn id="3" xr3:uid="{00000000-0010-0000-0200-000003000000}" name="citation_short"/>
    <tableColumn id="4" xr3:uid="{00000000-0010-0000-0200-000004000000}" name="rationale_one_lin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VIC_OSTEOGENIC" displayName="VIC_OSTEOGENIC" ref="A1:D28" totalsRowShown="0">
  <autoFilter ref="A1:D28" xr:uid="{00000000-0009-0000-0100-000007000000}"/>
  <tableColumns count="4">
    <tableColumn id="1" xr3:uid="{00000000-0010-0000-0300-000001000000}" name="gene_symbol"/>
    <tableColumn id="2" xr3:uid="{00000000-0010-0000-0300-000002000000}" name="PMID"/>
    <tableColumn id="3" xr3:uid="{00000000-0010-0000-0300-000003000000}" name="citation_short"/>
    <tableColumn id="4" xr3:uid="{00000000-0010-0000-0300-000004000000}" name="rationale_one_lin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S100A9_RAGE_CALCIFICATION" displayName="S100A9_RAGE_CALCIFICATION" ref="A1:D18" totalsRowShown="0">
  <autoFilter ref="A1:D18" xr:uid="{00000000-0009-0000-0100-000006000000}"/>
  <tableColumns count="4">
    <tableColumn id="1" xr3:uid="{00000000-0010-0000-0400-000001000000}" name="gene_symbol"/>
    <tableColumn id="2" xr3:uid="{00000000-0010-0000-0400-000002000000}" name="PMID"/>
    <tableColumn id="3" xr3:uid="{00000000-0010-0000-0400-000003000000}" name="citation_short"/>
    <tableColumn id="4" xr3:uid="{00000000-0010-0000-0400-000004000000}" name="rationale_one_lin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ALL_ROWS" displayName="ALL_ROWS" ref="A1:C109" totalsRowShown="0">
  <autoFilter ref="A1:C109" xr:uid="{00000000-0009-0000-0100-000001000000}"/>
  <tableColumns count="3">
    <tableColumn id="1" xr3:uid="{00000000-0010-0000-0500-000001000000}" name="gene_symbol"/>
    <tableColumn id="2" xr3:uid="{00000000-0010-0000-0500-000002000000}" name="PMID"/>
    <tableColumn id="3" xr3:uid="{00000000-0010-0000-0500-000003000000}" name="gene_se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PMID_DUPS2" displayName="PMID_DUPS2" ref="A1:D11" totalsRowShown="0">
  <autoFilter ref="A1:D11" xr:uid="{00000000-0009-0000-0100-000005000000}"/>
  <tableColumns count="4">
    <tableColumn id="1" xr3:uid="{00000000-0010-0000-0600-000001000000}" name="PMID"/>
    <tableColumn id="2" xr3:uid="{00000000-0010-0000-0600-000002000000}" name="citation_short"/>
    <tableColumn id="3" xr3:uid="{00000000-0010-0000-0600-000003000000}" name="genes"/>
    <tableColumn id="4" xr3:uid="{00000000-0010-0000-0600-000004000000}" name="gene_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80" customWidth="1"/>
    <col min="5" max="5" width="14" customWidth="1"/>
  </cols>
  <sheetData>
    <row r="1" spans="1: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9.75" customHeight="1">
      <c r="A2" s="3" t="s">
        <v>5</v>
      </c>
      <c r="B2" s="3">
        <v>37724323</v>
      </c>
      <c r="C2" s="4" t="s">
        <v>6</v>
      </c>
      <c r="D2" s="5" t="s">
        <v>7</v>
      </c>
      <c r="E2" t="str">
        <f>VLOOKUP(A2,_HGNC_REF!$A$2:$C$108,3,FALSE())</f>
        <v>HGNC:6553</v>
      </c>
    </row>
    <row r="3" spans="1:5" ht="39.75" customHeight="1">
      <c r="A3" s="3" t="s">
        <v>8</v>
      </c>
      <c r="B3" s="3">
        <v>37724323</v>
      </c>
      <c r="C3" s="4" t="s">
        <v>6</v>
      </c>
      <c r="D3" s="5" t="s">
        <v>9</v>
      </c>
      <c r="E3" t="str">
        <f>VLOOKUP(A3,_HGNC_REF!$A$2:$C$108,3,FALSE())</f>
        <v>HGNC:6554</v>
      </c>
    </row>
    <row r="4" spans="1:5" ht="39.75" customHeight="1">
      <c r="A4" s="3" t="s">
        <v>10</v>
      </c>
      <c r="B4" s="3">
        <v>37724323</v>
      </c>
      <c r="C4" s="4" t="s">
        <v>6</v>
      </c>
      <c r="D4" s="5" t="s">
        <v>11</v>
      </c>
      <c r="E4" t="str">
        <f>VLOOKUP(A4,_HGNC_REF!$A$2:$C$108,3,FALSE())</f>
        <v>HGNC:6192</v>
      </c>
    </row>
    <row r="5" spans="1:5" ht="39.75" customHeight="1">
      <c r="A5" s="3" t="s">
        <v>12</v>
      </c>
      <c r="B5" s="3">
        <v>37724323</v>
      </c>
      <c r="C5" s="4" t="s">
        <v>6</v>
      </c>
      <c r="D5" s="5" t="s">
        <v>13</v>
      </c>
      <c r="E5" t="str">
        <f>VLOOKUP(A5,_HGNC_REF!$A$2:$C$108,3,FALSE())</f>
        <v>HGNC:11364</v>
      </c>
    </row>
    <row r="6" spans="1:5" ht="39.75" customHeight="1">
      <c r="A6" s="3" t="s">
        <v>14</v>
      </c>
      <c r="B6" s="3">
        <v>28283069</v>
      </c>
      <c r="C6" s="4" t="s">
        <v>15</v>
      </c>
      <c r="D6" s="5" t="s">
        <v>16</v>
      </c>
      <c r="E6" t="str">
        <f>VLOOKUP(A6,_HGNC_REF!$A$2:$C$108,3,FALSE())</f>
        <v>HGNC:8975</v>
      </c>
    </row>
    <row r="7" spans="1:5" ht="39.75" customHeight="1">
      <c r="A7" s="3" t="s">
        <v>17</v>
      </c>
      <c r="B7" s="3">
        <v>28283069</v>
      </c>
      <c r="C7" s="4" t="s">
        <v>15</v>
      </c>
      <c r="D7" s="5" t="s">
        <v>18</v>
      </c>
      <c r="E7" t="str">
        <f>VLOOKUP(A7,_HGNC_REF!$A$2:$C$108,3,FALSE())</f>
        <v>HGNC:8976</v>
      </c>
    </row>
    <row r="8" spans="1:5" ht="39.75" customHeight="1">
      <c r="A8" s="3" t="s">
        <v>19</v>
      </c>
      <c r="B8" s="3">
        <v>28283069</v>
      </c>
      <c r="C8" s="4" t="s">
        <v>15</v>
      </c>
      <c r="D8" s="5" t="s">
        <v>20</v>
      </c>
      <c r="E8" t="str">
        <f>VLOOKUP(A8,_HGNC_REF!$A$2:$C$108,3,FALSE())</f>
        <v>HGNC:391</v>
      </c>
    </row>
    <row r="9" spans="1:5" ht="39.75" customHeight="1">
      <c r="A9" s="3" t="s">
        <v>21</v>
      </c>
      <c r="B9" s="3">
        <v>28283069</v>
      </c>
      <c r="C9" s="4" t="s">
        <v>15</v>
      </c>
      <c r="D9" s="5" t="s">
        <v>22</v>
      </c>
      <c r="E9" t="str">
        <f>VLOOKUP(A9,_HGNC_REF!$A$2:$C$108,3,FALSE())</f>
        <v>HGNC:392</v>
      </c>
    </row>
    <row r="10" spans="1:5" ht="39.75" customHeight="1">
      <c r="A10" s="3" t="s">
        <v>23</v>
      </c>
      <c r="B10" s="3">
        <v>28283069</v>
      </c>
      <c r="C10" s="4" t="s">
        <v>15</v>
      </c>
      <c r="D10" s="5" t="s">
        <v>24</v>
      </c>
      <c r="E10" t="str">
        <f>VLOOKUP(A10,_HGNC_REF!$A$2:$C$108,3,FALSE())</f>
        <v>HGNC:3942</v>
      </c>
    </row>
    <row r="11" spans="1:5" ht="39.75" customHeight="1">
      <c r="A11" s="3" t="s">
        <v>25</v>
      </c>
      <c r="B11" s="3">
        <v>28283069</v>
      </c>
      <c r="C11" s="4" t="s">
        <v>15</v>
      </c>
      <c r="D11" s="5" t="s">
        <v>26</v>
      </c>
      <c r="E11" t="str">
        <f>VLOOKUP(A11,_HGNC_REF!$A$2:$C$108,3,FALSE())</f>
        <v>HGNC:30287</v>
      </c>
    </row>
    <row r="12" spans="1:5" ht="39.75" customHeight="1">
      <c r="A12" s="3" t="s">
        <v>27</v>
      </c>
      <c r="B12" s="3">
        <v>28283069</v>
      </c>
      <c r="C12" s="4" t="s">
        <v>15</v>
      </c>
      <c r="D12" s="5" t="s">
        <v>28</v>
      </c>
      <c r="E12" t="str">
        <f>VLOOKUP(A12,_HGNC_REF!$A$2:$C$108,3,FALSE())</f>
        <v>HGNC:22953</v>
      </c>
    </row>
    <row r="13" spans="1:5" ht="39.75" customHeight="1">
      <c r="A13" s="3" t="s">
        <v>29</v>
      </c>
      <c r="B13" s="3">
        <v>28283069</v>
      </c>
      <c r="C13" s="4" t="s">
        <v>15</v>
      </c>
      <c r="D13" s="5" t="s">
        <v>30</v>
      </c>
      <c r="E13" t="str">
        <f>VLOOKUP(A13,_HGNC_REF!$A$2:$C$108,3,FALSE())</f>
        <v>HGNC:12362</v>
      </c>
    </row>
    <row r="14" spans="1:5" ht="39.75" customHeight="1">
      <c r="A14" s="3" t="s">
        <v>31</v>
      </c>
      <c r="B14" s="3">
        <v>28283069</v>
      </c>
      <c r="C14" s="4" t="s">
        <v>15</v>
      </c>
      <c r="D14" s="5" t="s">
        <v>32</v>
      </c>
      <c r="E14" t="str">
        <f>VLOOKUP(A14,_HGNC_REF!$A$2:$C$108,3,FALSE())</f>
        <v>HGNC:12363</v>
      </c>
    </row>
    <row r="15" spans="1:5" ht="39.75" customHeight="1">
      <c r="A15" s="3" t="s">
        <v>33</v>
      </c>
      <c r="B15" s="3">
        <v>28283069</v>
      </c>
      <c r="C15" s="4" t="s">
        <v>15</v>
      </c>
      <c r="D15" s="5" t="s">
        <v>34</v>
      </c>
      <c r="E15" t="str">
        <f>VLOOKUP(A15,_HGNC_REF!$A$2:$C$108,3,FALSE())</f>
        <v>HGNC:10011</v>
      </c>
    </row>
    <row r="16" spans="1:5" ht="39.75" customHeight="1">
      <c r="A16" s="3" t="s">
        <v>35</v>
      </c>
      <c r="B16" s="3">
        <v>28283069</v>
      </c>
      <c r="C16" s="4" t="s">
        <v>15</v>
      </c>
      <c r="D16" s="5" t="s">
        <v>36</v>
      </c>
      <c r="E16" t="str">
        <f>VLOOKUP(A16,_HGNC_REF!$A$2:$C$108,3,FALSE())</f>
        <v>HGNC:10436</v>
      </c>
    </row>
    <row r="17" spans="1:5" ht="39.75" customHeight="1">
      <c r="A17" s="3" t="s">
        <v>37</v>
      </c>
      <c r="B17" s="3">
        <v>28283069</v>
      </c>
      <c r="C17" s="4" t="s">
        <v>15</v>
      </c>
      <c r="D17" s="5" t="s">
        <v>38</v>
      </c>
      <c r="E17" t="str">
        <f>VLOOKUP(A17,_HGNC_REF!$A$2:$C$108,3,FALSE())</f>
        <v>HGNC:3288</v>
      </c>
    </row>
    <row r="18" spans="1:5" ht="39.75" customHeight="1">
      <c r="A18" s="3" t="s">
        <v>39</v>
      </c>
      <c r="B18" s="3">
        <v>28283069</v>
      </c>
      <c r="C18" s="4" t="s">
        <v>15</v>
      </c>
      <c r="D18" s="5" t="s">
        <v>40</v>
      </c>
      <c r="E18" t="str">
        <f>VLOOKUP(A18,_HGNC_REF!$A$2:$C$108,3,FALSE())</f>
        <v>HGNC:10429</v>
      </c>
    </row>
    <row r="19" spans="1:5" ht="39.75" customHeight="1">
      <c r="A19" s="3" t="s">
        <v>41</v>
      </c>
      <c r="B19" s="3">
        <v>37724323</v>
      </c>
      <c r="C19" s="4" t="s">
        <v>6</v>
      </c>
      <c r="D19" s="5" t="s">
        <v>42</v>
      </c>
      <c r="E19" t="str">
        <f>VLOOKUP(A19,_HGNC_REF!$A$2:$C$108,3,FALSE())</f>
        <v>HGNC:19391</v>
      </c>
    </row>
    <row r="20" spans="1:5" ht="39.75" customHeight="1">
      <c r="A20" s="3" t="s">
        <v>43</v>
      </c>
      <c r="B20" s="3">
        <v>37724323</v>
      </c>
      <c r="C20" s="4" t="s">
        <v>6</v>
      </c>
      <c r="D20" s="5" t="s">
        <v>44</v>
      </c>
      <c r="E20" t="str">
        <f>VLOOKUP(A20,_HGNC_REF!$A$2:$C$108,3,FALSE())</f>
        <v>HGNC:6125</v>
      </c>
    </row>
    <row r="21" spans="1:5" ht="39.75" customHeight="1">
      <c r="A21" s="3" t="s">
        <v>45</v>
      </c>
      <c r="B21" s="3">
        <v>37724323</v>
      </c>
      <c r="C21" s="4" t="s">
        <v>6</v>
      </c>
      <c r="D21" s="5" t="s">
        <v>46</v>
      </c>
      <c r="E21" t="str">
        <f>VLOOKUP(A21,_HGNC_REF!$A$2:$C$108,3,FALSE())</f>
        <v>HGNC:6126</v>
      </c>
    </row>
    <row r="22" spans="1:5" ht="39.75" customHeight="1">
      <c r="A22" s="3" t="s">
        <v>47</v>
      </c>
      <c r="B22" s="3">
        <v>28283069</v>
      </c>
      <c r="C22" s="4" t="s">
        <v>15</v>
      </c>
      <c r="D22" s="5" t="s">
        <v>48</v>
      </c>
      <c r="E22" t="str">
        <f>VLOOKUP(A22,_HGNC_REF!$A$2:$C$108,3,FALSE())</f>
        <v>HGNC:9588</v>
      </c>
    </row>
    <row r="23" spans="1:5" ht="39.75" customHeight="1">
      <c r="A23" s="3" t="s">
        <v>49</v>
      </c>
      <c r="B23" s="3">
        <v>37724323</v>
      </c>
      <c r="C23" s="4" t="s">
        <v>6</v>
      </c>
      <c r="D23" s="5" t="s">
        <v>50</v>
      </c>
      <c r="E23" t="str">
        <f>VLOOKUP(A23,_HGNC_REF!$A$2:$C$108,3,FALSE())</f>
        <v>HGNC:3819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80" customWidth="1"/>
    <col min="5" max="5" width="14" customWidth="1"/>
  </cols>
  <sheetData>
    <row r="1" spans="1: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9.75" customHeight="1">
      <c r="A2" s="3" t="s">
        <v>51</v>
      </c>
      <c r="B2" s="3">
        <v>30633901</v>
      </c>
      <c r="C2" s="4" t="s">
        <v>52</v>
      </c>
      <c r="D2" s="5" t="s">
        <v>53</v>
      </c>
      <c r="E2" t="str">
        <f>VLOOKUP(A2,_HGNC_REF!$A$2:$C$108,3,FALSE())</f>
        <v>HGNC:12558</v>
      </c>
    </row>
    <row r="3" spans="1:5" ht="39.75" customHeight="1">
      <c r="A3" s="3" t="s">
        <v>54</v>
      </c>
      <c r="B3" s="3">
        <v>30633901</v>
      </c>
      <c r="C3" s="4" t="s">
        <v>52</v>
      </c>
      <c r="D3" s="5" t="s">
        <v>55</v>
      </c>
      <c r="E3" t="str">
        <f>VLOOKUP(A3,_HGNC_REF!$A$2:$C$108,3,FALSE())</f>
        <v>HGNC:29091</v>
      </c>
    </row>
    <row r="4" spans="1:5" ht="39.75" customHeight="1">
      <c r="A4" s="3" t="s">
        <v>56</v>
      </c>
      <c r="B4" s="3">
        <v>30633901</v>
      </c>
      <c r="C4" s="4" t="s">
        <v>52</v>
      </c>
      <c r="D4" s="5" t="s">
        <v>57</v>
      </c>
      <c r="E4" t="str">
        <f>VLOOKUP(A4,_HGNC_REF!$A$2:$C$108,3,FALSE())</f>
        <v>HGNC:15574</v>
      </c>
    </row>
    <row r="5" spans="1:5" ht="39.75" customHeight="1">
      <c r="A5" s="3" t="s">
        <v>58</v>
      </c>
      <c r="B5" s="3">
        <v>28283069</v>
      </c>
      <c r="C5" s="4" t="s">
        <v>15</v>
      </c>
      <c r="D5" s="5" t="s">
        <v>59</v>
      </c>
      <c r="E5" t="str">
        <f>VLOOKUP(A5,_HGNC_REF!$A$2:$C$108,3,FALSE())</f>
        <v>HGNC:11753</v>
      </c>
    </row>
    <row r="6" spans="1:5" ht="39.75" customHeight="1">
      <c r="A6" s="3" t="s">
        <v>60</v>
      </c>
      <c r="B6" s="3">
        <v>28283069</v>
      </c>
      <c r="C6" s="4" t="s">
        <v>15</v>
      </c>
      <c r="D6" s="5" t="s">
        <v>61</v>
      </c>
      <c r="E6" t="str">
        <f>VLOOKUP(A6,_HGNC_REF!$A$2:$C$108,3,FALSE())</f>
        <v>HGNC:11752</v>
      </c>
    </row>
    <row r="7" spans="1:5" ht="39.75" customHeight="1">
      <c r="A7" s="3" t="s">
        <v>62</v>
      </c>
      <c r="B7" s="3">
        <v>30633901</v>
      </c>
      <c r="C7" s="4" t="s">
        <v>52</v>
      </c>
      <c r="D7" s="5" t="s">
        <v>63</v>
      </c>
      <c r="E7" t="str">
        <f>VLOOKUP(A7,_HGNC_REF!$A$2:$C$108,3,FALSE())</f>
        <v>HGNC:1034</v>
      </c>
    </row>
    <row r="8" spans="1:5" ht="39.75" customHeight="1">
      <c r="A8" s="3" t="s">
        <v>64</v>
      </c>
      <c r="B8" s="3">
        <v>30633901</v>
      </c>
      <c r="C8" s="4" t="s">
        <v>52</v>
      </c>
      <c r="D8" s="5" t="s">
        <v>65</v>
      </c>
      <c r="E8" t="str">
        <f>VLOOKUP(A8,_HGNC_REF!$A$2:$C$108,3,FALSE())</f>
        <v>HGNC:19962</v>
      </c>
    </row>
    <row r="9" spans="1:5" ht="39.75" customHeight="1">
      <c r="A9" s="3" t="s">
        <v>66</v>
      </c>
      <c r="B9" s="3">
        <v>30633901</v>
      </c>
      <c r="C9" s="4" t="s">
        <v>52</v>
      </c>
      <c r="D9" s="5" t="s">
        <v>67</v>
      </c>
      <c r="E9" t="str">
        <f>VLOOKUP(A9,_HGNC_REF!$A$2:$C$108,3,FALSE())</f>
        <v>HGNC:8974</v>
      </c>
    </row>
    <row r="10" spans="1:5" ht="39.75" customHeight="1">
      <c r="A10" s="3" t="s">
        <v>68</v>
      </c>
      <c r="B10" s="3">
        <v>30633901</v>
      </c>
      <c r="C10" s="4" t="s">
        <v>52</v>
      </c>
      <c r="D10" s="5" t="s">
        <v>69</v>
      </c>
      <c r="E10" t="str">
        <f>VLOOKUP(A10,_HGNC_REF!$A$2:$C$108,3,FALSE())</f>
        <v>HGNC:16935</v>
      </c>
    </row>
    <row r="11" spans="1:5" ht="39.75" customHeight="1">
      <c r="A11" s="3" t="s">
        <v>70</v>
      </c>
      <c r="B11" s="3">
        <v>30633901</v>
      </c>
      <c r="C11" s="4" t="s">
        <v>52</v>
      </c>
      <c r="D11" s="5" t="s">
        <v>71</v>
      </c>
      <c r="E11" t="str">
        <f>VLOOKUP(A11,_HGNC_REF!$A$2:$C$108,3,FALSE())</f>
        <v>HGNC:589</v>
      </c>
    </row>
    <row r="12" spans="1:5" ht="39.75" customHeight="1">
      <c r="A12" s="3" t="s">
        <v>72</v>
      </c>
      <c r="B12" s="3">
        <v>30633901</v>
      </c>
      <c r="C12" s="4" t="s">
        <v>52</v>
      </c>
      <c r="D12" s="5" t="s">
        <v>73</v>
      </c>
      <c r="E12" t="str">
        <f>VLOOKUP(A12,_HGNC_REF!$A$2:$C$108,3,FALSE())</f>
        <v>HGNC:588</v>
      </c>
    </row>
    <row r="13" spans="1:5" ht="39.75" customHeight="1">
      <c r="A13" s="3" t="s">
        <v>74</v>
      </c>
      <c r="B13" s="3">
        <v>30633901</v>
      </c>
      <c r="C13" s="4" t="s">
        <v>52</v>
      </c>
      <c r="D13" s="5" t="s">
        <v>75</v>
      </c>
      <c r="E13" t="str">
        <f>VLOOKUP(A13,_HGNC_REF!$A$2:$C$108,3,FALSE())</f>
        <v>HGNC:21498</v>
      </c>
    </row>
    <row r="14" spans="1:5" ht="39.75" customHeight="1">
      <c r="A14" s="3" t="s">
        <v>76</v>
      </c>
      <c r="B14" s="3">
        <v>30633901</v>
      </c>
      <c r="C14" s="4" t="s">
        <v>52</v>
      </c>
      <c r="D14" s="5" t="s">
        <v>77</v>
      </c>
      <c r="E14" t="str">
        <f>VLOOKUP(A14,_HGNC_REF!$A$2:$C$108,3,FALSE())</f>
        <v>HGNC:11280</v>
      </c>
    </row>
    <row r="15" spans="1:5" ht="39.75" customHeight="1">
      <c r="A15" s="3" t="s">
        <v>78</v>
      </c>
      <c r="B15" s="3">
        <v>30633901</v>
      </c>
      <c r="C15" s="4" t="s">
        <v>52</v>
      </c>
      <c r="D15" s="5" t="s">
        <v>79</v>
      </c>
      <c r="E15" t="str">
        <f>VLOOKUP(A15,_HGNC_REF!$A$2:$C$108,3,FALSE())</f>
        <v>HGNC:9788</v>
      </c>
    </row>
    <row r="16" spans="1:5" ht="39.75" customHeight="1">
      <c r="A16" s="3" t="s">
        <v>80</v>
      </c>
      <c r="B16" s="3">
        <v>30633901</v>
      </c>
      <c r="C16" s="4" t="s">
        <v>52</v>
      </c>
      <c r="D16" s="5" t="s">
        <v>81</v>
      </c>
      <c r="E16" t="str">
        <f>VLOOKUP(A16,_HGNC_REF!$A$2:$C$108,3,FALSE())</f>
        <v>HGNC:11432</v>
      </c>
    </row>
    <row r="17" spans="1:5" ht="39.75" customHeight="1">
      <c r="A17" s="3" t="s">
        <v>82</v>
      </c>
      <c r="B17" s="3">
        <v>30633901</v>
      </c>
      <c r="C17" s="4" t="s">
        <v>52</v>
      </c>
      <c r="D17" s="5" t="s">
        <v>83</v>
      </c>
      <c r="E17" t="str">
        <f>VLOOKUP(A17,_HGNC_REF!$A$2:$C$108,3,FALSE())</f>
        <v>HGNC:25471</v>
      </c>
    </row>
    <row r="18" spans="1:5" ht="39.75" customHeight="1">
      <c r="A18" s="3" t="s">
        <v>84</v>
      </c>
      <c r="B18" s="3">
        <v>30633901</v>
      </c>
      <c r="C18" s="4" t="s">
        <v>52</v>
      </c>
      <c r="D18" s="5" t="s">
        <v>85</v>
      </c>
      <c r="E18" t="str">
        <f>VLOOKUP(A18,_HGNC_REF!$A$2:$C$108,3,FALSE())</f>
        <v>HGNC:32225</v>
      </c>
    </row>
    <row r="19" spans="1:5" ht="39.75" customHeight="1">
      <c r="A19" s="3" t="s">
        <v>86</v>
      </c>
      <c r="B19" s="3">
        <v>28283069</v>
      </c>
      <c r="C19" s="4" t="s">
        <v>15</v>
      </c>
      <c r="D19" s="5" t="s">
        <v>87</v>
      </c>
      <c r="E19" t="str">
        <f>VLOOKUP(A19,_HGNC_REF!$A$2:$C$108,3,FALSE())</f>
        <v>HGNC:9376</v>
      </c>
    </row>
    <row r="20" spans="1:5" ht="39.75" customHeight="1">
      <c r="A20" s="3" t="s">
        <v>88</v>
      </c>
      <c r="B20" s="3">
        <v>37175493</v>
      </c>
      <c r="C20" s="4" t="s">
        <v>89</v>
      </c>
      <c r="D20" s="5" t="s">
        <v>90</v>
      </c>
      <c r="E20" t="str">
        <f>VLOOKUP(A20,_HGNC_REF!$A$2:$C$108,3,FALSE())</f>
        <v>HGNC:13853</v>
      </c>
    </row>
    <row r="21" spans="1:5" ht="39.75" customHeight="1">
      <c r="A21" s="3" t="s">
        <v>91</v>
      </c>
      <c r="B21" s="3">
        <v>38766825</v>
      </c>
      <c r="C21" s="4" t="s">
        <v>92</v>
      </c>
      <c r="D21" s="5" t="s">
        <v>93</v>
      </c>
      <c r="E21" t="str">
        <f>VLOOKUP(A21,_HGNC_REF!$A$2:$C$108,3,FALSE())</f>
        <v>HGNC:13356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80" customWidth="1"/>
    <col min="5" max="5" width="14" customWidth="1"/>
  </cols>
  <sheetData>
    <row r="1" spans="1: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9.75" customHeight="1">
      <c r="A2" s="3" t="s">
        <v>94</v>
      </c>
      <c r="B2" s="3">
        <v>22536247</v>
      </c>
      <c r="C2" s="4" t="s">
        <v>95</v>
      </c>
      <c r="D2" s="5" t="s">
        <v>96</v>
      </c>
      <c r="E2" t="str">
        <f>VLOOKUP(A2,_HGNC_REF!$A$2:$C$108,3,FALSE())</f>
        <v>HGNC:248</v>
      </c>
    </row>
    <row r="3" spans="1:5" ht="39.75" customHeight="1">
      <c r="A3" s="3" t="s">
        <v>97</v>
      </c>
      <c r="B3" s="3">
        <v>33794741</v>
      </c>
      <c r="C3" s="4" t="s">
        <v>98</v>
      </c>
      <c r="D3" s="5" t="s">
        <v>99</v>
      </c>
      <c r="E3" t="str">
        <f>VLOOKUP(A3,_HGNC_REF!$A$2:$C$108,3,FALSE())</f>
        <v>HGNC:16893</v>
      </c>
    </row>
    <row r="4" spans="1:5" ht="39.75" customHeight="1">
      <c r="A4" s="3" t="s">
        <v>100</v>
      </c>
      <c r="B4" s="3">
        <v>33794741</v>
      </c>
      <c r="C4" s="4" t="s">
        <v>98</v>
      </c>
      <c r="D4" s="5" t="s">
        <v>101</v>
      </c>
      <c r="E4" t="str">
        <f>VLOOKUP(A4,_HGNC_REF!$A$2:$C$108,3,FALSE())</f>
        <v>HGNC:33196</v>
      </c>
    </row>
    <row r="5" spans="1:5" ht="39.75" customHeight="1">
      <c r="A5" s="3" t="s">
        <v>102</v>
      </c>
      <c r="B5" s="3">
        <v>30523332</v>
      </c>
      <c r="C5" s="4" t="s">
        <v>103</v>
      </c>
      <c r="D5" s="5" t="s">
        <v>104</v>
      </c>
      <c r="E5" t="str">
        <f>VLOOKUP(A5,_HGNC_REF!$A$2:$C$108,3,FALSE())</f>
        <v>HGNC:1976</v>
      </c>
    </row>
    <row r="6" spans="1:5" ht="39.75" customHeight="1">
      <c r="A6" s="3" t="s">
        <v>105</v>
      </c>
      <c r="B6" s="3">
        <v>30523332</v>
      </c>
      <c r="C6" s="4" t="s">
        <v>103</v>
      </c>
      <c r="D6" s="5" t="s">
        <v>106</v>
      </c>
      <c r="E6" t="str">
        <f>VLOOKUP(A6,_HGNC_REF!$A$2:$C$108,3,FALSE())</f>
        <v>HGNC:24229</v>
      </c>
    </row>
    <row r="7" spans="1:5" ht="39.75" customHeight="1">
      <c r="A7" s="3" t="s">
        <v>107</v>
      </c>
      <c r="B7" s="3">
        <v>30523332</v>
      </c>
      <c r="C7" s="4" t="s">
        <v>103</v>
      </c>
      <c r="D7" s="5" t="s">
        <v>108</v>
      </c>
      <c r="E7" t="str">
        <f>VLOOKUP(A7,_HGNC_REF!$A$2:$C$108,3,FALSE())</f>
        <v>HGNC:16135</v>
      </c>
    </row>
    <row r="8" spans="1:5" ht="39.75" customHeight="1">
      <c r="A8" s="3" t="s">
        <v>109</v>
      </c>
      <c r="B8" s="3">
        <v>30523332</v>
      </c>
      <c r="C8" s="4" t="s">
        <v>103</v>
      </c>
      <c r="D8" s="5" t="s">
        <v>110</v>
      </c>
      <c r="E8" t="str">
        <f>VLOOKUP(A8,_HGNC_REF!$A$2:$C$108,3,FALSE())</f>
        <v>HGNC:2843</v>
      </c>
    </row>
    <row r="9" spans="1:5" ht="39.75" customHeight="1">
      <c r="A9" s="3" t="s">
        <v>111</v>
      </c>
      <c r="B9" s="3">
        <v>30523332</v>
      </c>
      <c r="C9" s="4" t="s">
        <v>103</v>
      </c>
      <c r="D9" s="5" t="s">
        <v>112</v>
      </c>
      <c r="E9" t="str">
        <f>VLOOKUP(A9,_HGNC_REF!$A$2:$C$108,3,FALSE())</f>
        <v>HGNC:16940</v>
      </c>
    </row>
    <row r="10" spans="1:5" ht="39.75" customHeight="1">
      <c r="A10" s="3" t="s">
        <v>113</v>
      </c>
      <c r="B10" s="3">
        <v>33794741</v>
      </c>
      <c r="C10" s="4" t="s">
        <v>98</v>
      </c>
      <c r="D10" s="5" t="s">
        <v>114</v>
      </c>
      <c r="E10" t="str">
        <f>VLOOKUP(A10,_HGNC_REF!$A$2:$C$108,3,FALSE())</f>
        <v>HGNC:30802</v>
      </c>
    </row>
    <row r="11" spans="1:5" ht="39.75" customHeight="1">
      <c r="A11" s="3" t="s">
        <v>115</v>
      </c>
      <c r="B11" s="3">
        <v>33794741</v>
      </c>
      <c r="C11" s="4" t="s">
        <v>98</v>
      </c>
      <c r="D11" s="5" t="s">
        <v>116</v>
      </c>
      <c r="E11" t="str">
        <f>VLOOKUP(A11,_HGNC_REF!$A$2:$C$108,3,FALSE())</f>
        <v>HGNC:6617</v>
      </c>
    </row>
    <row r="12" spans="1:5" ht="39.75" customHeight="1">
      <c r="A12" s="3" t="s">
        <v>117</v>
      </c>
      <c r="B12" s="3">
        <v>30523332</v>
      </c>
      <c r="C12" s="4" t="s">
        <v>103</v>
      </c>
      <c r="D12" s="5" t="s">
        <v>118</v>
      </c>
      <c r="E12" t="str">
        <f>VLOOKUP(A12,_HGNC_REF!$A$2:$C$108,3,FALSE())</f>
        <v>HGNC:6621</v>
      </c>
    </row>
    <row r="13" spans="1:5" ht="39.75" customHeight="1">
      <c r="A13" s="3" t="s">
        <v>119</v>
      </c>
      <c r="B13" s="3">
        <v>33794741</v>
      </c>
      <c r="C13" s="4" t="s">
        <v>98</v>
      </c>
      <c r="D13" s="5" t="s">
        <v>120</v>
      </c>
      <c r="E13" t="str">
        <f>VLOOKUP(A13,_HGNC_REF!$A$2:$C$108,3,FALSE())</f>
        <v>HGNC:13352</v>
      </c>
    </row>
    <row r="14" spans="1:5" ht="39.75" customHeight="1">
      <c r="A14" s="3" t="s">
        <v>121</v>
      </c>
      <c r="B14" s="3">
        <v>30633901</v>
      </c>
      <c r="C14" s="4" t="s">
        <v>52</v>
      </c>
      <c r="D14" s="5" t="s">
        <v>122</v>
      </c>
      <c r="E14" t="str">
        <f>VLOOKUP(A14,_HGNC_REF!$A$2:$C$108,3,FALSE())</f>
        <v>HGNC:4068</v>
      </c>
    </row>
    <row r="15" spans="1:5" ht="39.75" customHeight="1">
      <c r="A15" s="3" t="s">
        <v>123</v>
      </c>
      <c r="B15" s="3">
        <v>33794741</v>
      </c>
      <c r="C15" s="4" t="s">
        <v>98</v>
      </c>
      <c r="D15" s="5" t="s">
        <v>124</v>
      </c>
      <c r="E15" t="str">
        <f>VLOOKUP(A15,_HGNC_REF!$A$2:$C$108,3,FALSE())</f>
        <v>HGNC:6501</v>
      </c>
    </row>
    <row r="16" spans="1:5" ht="39.75" customHeight="1">
      <c r="A16" s="3" t="s">
        <v>78</v>
      </c>
      <c r="B16" s="3">
        <v>33794741</v>
      </c>
      <c r="C16" s="4" t="s">
        <v>98</v>
      </c>
      <c r="D16" s="5" t="s">
        <v>125</v>
      </c>
      <c r="E16" t="str">
        <f>VLOOKUP(A16,_HGNC_REF!$A$2:$C$108,3,FALSE())</f>
        <v>HGNC:9788</v>
      </c>
    </row>
    <row r="17" spans="1:5" ht="39.75" customHeight="1">
      <c r="A17" s="3" t="s">
        <v>126</v>
      </c>
      <c r="B17" s="3">
        <v>35991116</v>
      </c>
      <c r="C17" s="4" t="s">
        <v>127</v>
      </c>
      <c r="D17" s="5" t="s">
        <v>128</v>
      </c>
      <c r="E17" t="str">
        <f>VLOOKUP(A17,_HGNC_REF!$A$2:$C$108,3,FALSE())</f>
        <v>HGNC:1663</v>
      </c>
    </row>
    <row r="18" spans="1:5" ht="39.75" customHeight="1">
      <c r="A18" s="3" t="s">
        <v>129</v>
      </c>
      <c r="B18" s="3">
        <v>30523332</v>
      </c>
      <c r="C18" s="4" t="s">
        <v>103</v>
      </c>
      <c r="D18" s="5" t="s">
        <v>130</v>
      </c>
      <c r="E18" t="str">
        <f>VLOOKUP(A18,_HGNC_REF!$A$2:$C$108,3,FALSE())</f>
        <v>HGNC:3559</v>
      </c>
    </row>
    <row r="19" spans="1:5" ht="39.75" customHeight="1">
      <c r="A19" s="3" t="s">
        <v>131</v>
      </c>
      <c r="B19" s="3">
        <v>33794741</v>
      </c>
      <c r="C19" s="4" t="s">
        <v>98</v>
      </c>
      <c r="D19" s="5" t="s">
        <v>132</v>
      </c>
      <c r="E19" t="str">
        <f>VLOOKUP(A19,_HGNC_REF!$A$2:$C$108,3,FALSE())</f>
        <v>HGNC:2328</v>
      </c>
    </row>
    <row r="20" spans="1:5" ht="39.75" customHeight="1">
      <c r="A20" s="3" t="s">
        <v>133</v>
      </c>
      <c r="B20" s="3">
        <v>33794741</v>
      </c>
      <c r="C20" s="4" t="s">
        <v>98</v>
      </c>
      <c r="D20" s="5" t="s">
        <v>134</v>
      </c>
      <c r="E20" t="str">
        <f>VLOOKUP(A20,_HGNC_REF!$A$2:$C$108,3,FALSE())</f>
        <v>HGNC:9232</v>
      </c>
    </row>
    <row r="21" spans="1:5" ht="39.75" customHeight="1">
      <c r="A21" s="3" t="s">
        <v>135</v>
      </c>
      <c r="B21" s="3">
        <v>30391710</v>
      </c>
      <c r="C21" s="4" t="s">
        <v>136</v>
      </c>
      <c r="D21" s="5" t="s">
        <v>137</v>
      </c>
      <c r="E21" t="str">
        <f>VLOOKUP(A21,_HGNC_REF!$A$2:$C$108,3,FALSE())</f>
        <v>HGNC:28900</v>
      </c>
    </row>
    <row r="22" spans="1:5" ht="39.75" customHeight="1">
      <c r="A22" s="3" t="s">
        <v>138</v>
      </c>
      <c r="B22" s="3">
        <v>22385114</v>
      </c>
      <c r="C22" s="4" t="s">
        <v>139</v>
      </c>
      <c r="D22" s="5" t="s">
        <v>140</v>
      </c>
      <c r="E22" t="str">
        <f>VLOOKUP(A22,_HGNC_REF!$A$2:$C$108,3,FALSE())</f>
        <v>HGNC:24865</v>
      </c>
    </row>
    <row r="23" spans="1:5" ht="39.75" customHeight="1">
      <c r="A23" s="3" t="s">
        <v>141</v>
      </c>
      <c r="B23" s="3">
        <v>30523332</v>
      </c>
      <c r="C23" s="4" t="s">
        <v>103</v>
      </c>
      <c r="D23" s="5" t="s">
        <v>142</v>
      </c>
      <c r="E23" t="str">
        <f>VLOOKUP(A23,_HGNC_REF!$A$2:$C$108,3,FALSE())</f>
        <v>HGNC:29393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80" customWidth="1"/>
    <col min="5" max="5" width="14" customWidth="1"/>
  </cols>
  <sheetData>
    <row r="1" spans="1: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9.75" customHeight="1">
      <c r="A2" s="3" t="s">
        <v>143</v>
      </c>
      <c r="B2" s="3">
        <v>36829083</v>
      </c>
      <c r="C2" s="4" t="s">
        <v>144</v>
      </c>
      <c r="D2" s="5" t="s">
        <v>145</v>
      </c>
      <c r="E2" t="str">
        <f>VLOOKUP(A2,_HGNC_REF!$A$2:$C$108,3,FALSE())</f>
        <v>HGNC:11255</v>
      </c>
    </row>
    <row r="3" spans="1:5" ht="39.75" customHeight="1">
      <c r="A3" s="3" t="s">
        <v>146</v>
      </c>
      <c r="B3" s="3">
        <v>36829083</v>
      </c>
      <c r="C3" s="4" t="s">
        <v>144</v>
      </c>
      <c r="D3" s="5" t="s">
        <v>147</v>
      </c>
      <c r="E3" t="str">
        <f>VLOOKUP(A3,_HGNC_REF!$A$2:$C$108,3,FALSE())</f>
        <v>HGNC:5341</v>
      </c>
    </row>
    <row r="4" spans="1:5" ht="39.75" customHeight="1">
      <c r="A4" s="3" t="s">
        <v>148</v>
      </c>
      <c r="B4" s="3">
        <v>36829083</v>
      </c>
      <c r="C4" s="4" t="s">
        <v>144</v>
      </c>
      <c r="D4" s="5" t="s">
        <v>149</v>
      </c>
      <c r="E4" t="str">
        <f>VLOOKUP(A4,_HGNC_REF!$A$2:$C$108,3,FALSE())</f>
        <v>HGNC:10472</v>
      </c>
    </row>
    <row r="5" spans="1:5" ht="39.75" customHeight="1">
      <c r="A5" s="3" t="s">
        <v>150</v>
      </c>
      <c r="B5" s="3">
        <v>36829083</v>
      </c>
      <c r="C5" s="4" t="s">
        <v>144</v>
      </c>
      <c r="D5" s="5" t="s">
        <v>151</v>
      </c>
      <c r="E5" t="str">
        <f>VLOOKUP(A5,_HGNC_REF!$A$2:$C$108,3,FALSE())</f>
        <v>HGNC:438</v>
      </c>
    </row>
    <row r="6" spans="1:5" ht="39.75" customHeight="1">
      <c r="A6" s="3" t="s">
        <v>152</v>
      </c>
      <c r="B6" s="3">
        <v>36829083</v>
      </c>
      <c r="C6" s="4" t="s">
        <v>144</v>
      </c>
      <c r="D6" s="5" t="s">
        <v>153</v>
      </c>
      <c r="E6" t="str">
        <f>VLOOKUP(A6,_HGNC_REF!$A$2:$C$108,3,FALSE())</f>
        <v>HGNC:1069</v>
      </c>
    </row>
    <row r="7" spans="1:5" ht="39.75" customHeight="1">
      <c r="A7" s="3" t="s">
        <v>154</v>
      </c>
      <c r="B7" s="3">
        <v>36829083</v>
      </c>
      <c r="C7" s="4" t="s">
        <v>144</v>
      </c>
      <c r="D7" s="5" t="s">
        <v>155</v>
      </c>
      <c r="E7" t="str">
        <f>VLOOKUP(A7,_HGNC_REF!$A$2:$C$108,3,FALSE())</f>
        <v>HGNC:1043</v>
      </c>
    </row>
    <row r="8" spans="1:5" ht="39.75" customHeight="1">
      <c r="A8" s="3" t="s">
        <v>156</v>
      </c>
      <c r="B8" s="3">
        <v>36829083</v>
      </c>
      <c r="C8" s="4" t="s">
        <v>144</v>
      </c>
      <c r="D8" s="5" t="s">
        <v>157</v>
      </c>
      <c r="E8" t="str">
        <f>VLOOKUP(A8,_HGNC_REF!$A$2:$C$108,3,FALSE())</f>
        <v>HGNC:2197</v>
      </c>
    </row>
    <row r="9" spans="1:5" ht="39.75" customHeight="1">
      <c r="A9" s="3" t="s">
        <v>158</v>
      </c>
      <c r="B9" s="3">
        <v>36829083</v>
      </c>
      <c r="C9" s="4" t="s">
        <v>144</v>
      </c>
      <c r="D9" s="5" t="s">
        <v>159</v>
      </c>
      <c r="E9" t="str">
        <f>VLOOKUP(A9,_HGNC_REF!$A$2:$C$108,3,FALSE())</f>
        <v>HGNC:2198</v>
      </c>
    </row>
    <row r="10" spans="1:5" ht="39.75" customHeight="1">
      <c r="A10" s="3" t="s">
        <v>160</v>
      </c>
      <c r="B10" s="3">
        <v>36829083</v>
      </c>
      <c r="C10" s="4" t="s">
        <v>144</v>
      </c>
      <c r="D10" s="5" t="s">
        <v>161</v>
      </c>
      <c r="E10" t="str">
        <f>VLOOKUP(A10,_HGNC_REF!$A$2:$C$108,3,FALSE())</f>
        <v>HGNC:17321</v>
      </c>
    </row>
    <row r="11" spans="1:5" ht="39.75" customHeight="1">
      <c r="A11" s="3" t="s">
        <v>162</v>
      </c>
      <c r="B11" s="3">
        <v>36829083</v>
      </c>
      <c r="C11" s="4" t="s">
        <v>144</v>
      </c>
      <c r="D11" s="5" t="s">
        <v>163</v>
      </c>
      <c r="E11" t="str">
        <f>VLOOKUP(A11,_HGNC_REF!$A$2:$C$108,3,FALSE())</f>
        <v>HGNC:2918</v>
      </c>
    </row>
    <row r="12" spans="1:5" ht="39.75" customHeight="1">
      <c r="A12" s="3" t="s">
        <v>164</v>
      </c>
      <c r="B12" s="3">
        <v>36829083</v>
      </c>
      <c r="C12" s="4" t="s">
        <v>144</v>
      </c>
      <c r="D12" s="5" t="s">
        <v>165</v>
      </c>
      <c r="E12" t="str">
        <f>VLOOKUP(A12,_HGNC_REF!$A$2:$C$108,3,FALSE())</f>
        <v>HGNC:7392</v>
      </c>
    </row>
    <row r="13" spans="1:5" ht="39.75" customHeight="1">
      <c r="A13" s="3" t="s">
        <v>166</v>
      </c>
      <c r="B13" s="3">
        <v>36829083</v>
      </c>
      <c r="C13" s="4" t="s">
        <v>144</v>
      </c>
      <c r="D13" s="5" t="s">
        <v>167</v>
      </c>
      <c r="E13" t="str">
        <f>VLOOKUP(A13,_HGNC_REF!$A$2:$C$108,3,FALSE())</f>
        <v>HGNC:786</v>
      </c>
    </row>
    <row r="14" spans="1:5" ht="39.75" customHeight="1">
      <c r="A14" s="3" t="s">
        <v>168</v>
      </c>
      <c r="B14" s="3">
        <v>36620697</v>
      </c>
      <c r="C14" s="4" t="s">
        <v>169</v>
      </c>
      <c r="D14" s="5" t="s">
        <v>170</v>
      </c>
      <c r="E14" t="str">
        <f>VLOOKUP(A14,_HGNC_REF!$A$2:$C$108,3,FALSE())</f>
        <v>HGNC:7060</v>
      </c>
    </row>
    <row r="15" spans="1:5" ht="39.75" customHeight="1">
      <c r="A15" s="3" t="s">
        <v>171</v>
      </c>
      <c r="B15" s="3">
        <v>36620697</v>
      </c>
      <c r="C15" s="4" t="s">
        <v>169</v>
      </c>
      <c r="D15" s="5" t="s">
        <v>172</v>
      </c>
      <c r="E15" t="str">
        <f>VLOOKUP(A15,_HGNC_REF!$A$2:$C$108,3,FALSE())</f>
        <v>HGNC:3356</v>
      </c>
    </row>
    <row r="16" spans="1:5" ht="39.75" customHeight="1">
      <c r="A16" s="3" t="s">
        <v>173</v>
      </c>
      <c r="B16" s="3">
        <v>36620697</v>
      </c>
      <c r="C16" s="4" t="s">
        <v>169</v>
      </c>
      <c r="D16" s="5" t="s">
        <v>174</v>
      </c>
      <c r="E16" t="str">
        <f>VLOOKUP(A16,_HGNC_REF!$A$2:$C$108,3,FALSE())</f>
        <v>HGNC:15492</v>
      </c>
    </row>
    <row r="17" spans="1:5" ht="39.75" customHeight="1">
      <c r="A17" s="3" t="s">
        <v>175</v>
      </c>
      <c r="B17" s="3">
        <v>36620697</v>
      </c>
      <c r="C17" s="4" t="s">
        <v>169</v>
      </c>
      <c r="D17" s="5" t="s">
        <v>176</v>
      </c>
      <c r="E17" t="str">
        <f>VLOOKUP(A17,_HGNC_REF!$A$2:$C$108,3,FALSE())</f>
        <v>HGNC:16815</v>
      </c>
    </row>
    <row r="18" spans="1:5" ht="39.75" customHeight="1">
      <c r="A18" s="3" t="s">
        <v>177</v>
      </c>
      <c r="B18" s="3">
        <v>36620697</v>
      </c>
      <c r="C18" s="4" t="s">
        <v>169</v>
      </c>
      <c r="D18" s="5" t="s">
        <v>178</v>
      </c>
      <c r="E18" t="str">
        <f>VLOOKUP(A18,_HGNC_REF!$A$2:$C$108,3,FALSE())</f>
        <v>HGNC:10946</v>
      </c>
    </row>
    <row r="19" spans="1:5" ht="39.75" customHeight="1">
      <c r="A19" s="3" t="s">
        <v>179</v>
      </c>
      <c r="B19" s="3">
        <v>36620697</v>
      </c>
      <c r="C19" s="4" t="s">
        <v>169</v>
      </c>
      <c r="D19" s="5" t="s">
        <v>180</v>
      </c>
      <c r="E19" t="str">
        <f>VLOOKUP(A19,_HGNC_REF!$A$2:$C$108,3,FALSE())</f>
        <v>HGNC:10947</v>
      </c>
    </row>
    <row r="20" spans="1:5" ht="39.75" customHeight="1">
      <c r="A20" s="3" t="s">
        <v>181</v>
      </c>
      <c r="B20" s="3">
        <v>36829083</v>
      </c>
      <c r="C20" s="4" t="s">
        <v>144</v>
      </c>
      <c r="D20" s="5" t="s">
        <v>182</v>
      </c>
      <c r="E20" t="str">
        <f>VLOOKUP(A20,_HGNC_REF!$A$2:$C$108,3,FALSE())</f>
        <v>HGNC:1071</v>
      </c>
    </row>
    <row r="21" spans="1:5" ht="39.75" customHeight="1">
      <c r="A21" s="3" t="s">
        <v>183</v>
      </c>
      <c r="B21" s="3">
        <v>36829083</v>
      </c>
      <c r="C21" s="4" t="s">
        <v>144</v>
      </c>
      <c r="D21" s="5" t="s">
        <v>184</v>
      </c>
      <c r="E21" t="str">
        <f>VLOOKUP(A21,_HGNC_REF!$A$2:$C$108,3,FALSE())</f>
        <v>HGNC:15983</v>
      </c>
    </row>
    <row r="22" spans="1:5" ht="39.75" customHeight="1">
      <c r="A22" s="3" t="s">
        <v>185</v>
      </c>
      <c r="B22" s="3">
        <v>36829083</v>
      </c>
      <c r="C22" s="4" t="s">
        <v>144</v>
      </c>
      <c r="D22" s="5" t="s">
        <v>186</v>
      </c>
      <c r="E22" t="str">
        <f>VLOOKUP(A22,_HGNC_REF!$A$2:$C$108,3,FALSE())</f>
        <v>HGNC:12784</v>
      </c>
    </row>
    <row r="23" spans="1:5" ht="39.75" customHeight="1">
      <c r="A23" s="3" t="s">
        <v>187</v>
      </c>
      <c r="B23" s="3">
        <v>36829083</v>
      </c>
      <c r="C23" s="4" t="s">
        <v>144</v>
      </c>
      <c r="D23" s="5" t="s">
        <v>188</v>
      </c>
      <c r="E23" t="str">
        <f>VLOOKUP(A23,_HGNC_REF!$A$2:$C$108,3,FALSE())</f>
        <v>HGNC:11766</v>
      </c>
    </row>
    <row r="24" spans="1:5" ht="39.75" customHeight="1">
      <c r="A24" s="3" t="s">
        <v>189</v>
      </c>
      <c r="B24" s="3">
        <v>36829083</v>
      </c>
      <c r="C24" s="4" t="s">
        <v>144</v>
      </c>
      <c r="D24" s="5" t="s">
        <v>190</v>
      </c>
      <c r="E24" t="str">
        <f>VLOOKUP(A24,_HGNC_REF!$A$2:$C$108,3,FALSE())</f>
        <v>HGNC:6697</v>
      </c>
    </row>
    <row r="25" spans="1:5" ht="39.75" customHeight="1">
      <c r="A25" s="3" t="s">
        <v>191</v>
      </c>
      <c r="B25" s="3">
        <v>36829083</v>
      </c>
      <c r="C25" s="4" t="s">
        <v>144</v>
      </c>
      <c r="D25" s="5" t="s">
        <v>192</v>
      </c>
      <c r="E25" t="str">
        <f>VLOOKUP(A25,_HGNC_REF!$A$2:$C$108,3,FALSE())</f>
        <v>HGNC:6698</v>
      </c>
    </row>
    <row r="26" spans="1:5" ht="39.75" customHeight="1">
      <c r="A26" s="3" t="s">
        <v>193</v>
      </c>
      <c r="B26" s="3">
        <v>36829083</v>
      </c>
      <c r="C26" s="4" t="s">
        <v>144</v>
      </c>
      <c r="D26" s="5" t="s">
        <v>194</v>
      </c>
      <c r="E26" t="str">
        <f>VLOOKUP(A26,_HGNC_REF!$A$2:$C$108,3,FALSE())</f>
        <v>HGNC:7881</v>
      </c>
    </row>
    <row r="27" spans="1:5" ht="39.75" customHeight="1">
      <c r="A27" s="3" t="s">
        <v>195</v>
      </c>
      <c r="B27" s="3">
        <v>36829083</v>
      </c>
      <c r="C27" s="4" t="s">
        <v>144</v>
      </c>
      <c r="D27" s="5" t="s">
        <v>196</v>
      </c>
      <c r="E27" t="str">
        <f>VLOOKUP(A27,_HGNC_REF!$A$2:$C$108,3,FALSE())</f>
        <v>HGNC:6348</v>
      </c>
    </row>
    <row r="28" spans="1:5" ht="39.75" customHeight="1">
      <c r="A28" s="3" t="s">
        <v>197</v>
      </c>
      <c r="B28" s="3">
        <v>36829083</v>
      </c>
      <c r="C28" s="4" t="s">
        <v>144</v>
      </c>
      <c r="D28" s="5" t="s">
        <v>198</v>
      </c>
      <c r="E28" t="str">
        <f>VLOOKUP(A28,_HGNC_REF!$A$2:$C$108,3,FALSE())</f>
        <v>HGNC:16953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80" customWidth="1"/>
    <col min="5" max="5" width="14" customWidth="1"/>
  </cols>
  <sheetData>
    <row r="1" spans="1: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9.75" customHeight="1">
      <c r="A2" s="3" t="s">
        <v>199</v>
      </c>
      <c r="B2" s="3">
        <v>22095980</v>
      </c>
      <c r="C2" s="4" t="s">
        <v>200</v>
      </c>
      <c r="D2" s="5" t="s">
        <v>201</v>
      </c>
      <c r="E2" t="str">
        <f>VLOOKUP(A2,_HGNC_REF!$A$2:$C$108,3,FALSE())</f>
        <v>HGNC:10498</v>
      </c>
    </row>
    <row r="3" spans="1:5" ht="39.75" customHeight="1">
      <c r="A3" s="3" t="s">
        <v>202</v>
      </c>
      <c r="B3" s="3">
        <v>22095980</v>
      </c>
      <c r="C3" s="4" t="s">
        <v>200</v>
      </c>
      <c r="D3" s="5" t="s">
        <v>203</v>
      </c>
      <c r="E3" t="str">
        <f>VLOOKUP(A3,_HGNC_REF!$A$2:$C$108,3,FALSE())</f>
        <v>HGNC:10499</v>
      </c>
    </row>
    <row r="4" spans="1:5" ht="39.75" customHeight="1">
      <c r="A4" s="3" t="s">
        <v>204</v>
      </c>
      <c r="B4" s="3">
        <v>27547766</v>
      </c>
      <c r="C4" s="4" t="s">
        <v>205</v>
      </c>
      <c r="D4" s="5" t="s">
        <v>206</v>
      </c>
      <c r="E4" t="str">
        <f>VLOOKUP(A4,_HGNC_REF!$A$2:$C$108,3,FALSE())</f>
        <v>HGNC:320</v>
      </c>
    </row>
    <row r="5" spans="1:5" ht="39.75" customHeight="1">
      <c r="A5" s="3" t="s">
        <v>207</v>
      </c>
      <c r="B5" s="3">
        <v>32958760</v>
      </c>
      <c r="C5" s="4" t="s">
        <v>208</v>
      </c>
      <c r="D5" s="5" t="s">
        <v>209</v>
      </c>
      <c r="E5" t="str">
        <f>VLOOKUP(A5,_HGNC_REF!$A$2:$C$108,3,FALSE())</f>
        <v>HGNC:11850</v>
      </c>
    </row>
    <row r="6" spans="1:5" ht="39.75" customHeight="1">
      <c r="A6" s="3" t="s">
        <v>210</v>
      </c>
      <c r="B6" s="3">
        <v>32958760</v>
      </c>
      <c r="C6" s="4" t="s">
        <v>208</v>
      </c>
      <c r="D6" s="5" t="s">
        <v>211</v>
      </c>
      <c r="E6" t="str">
        <f>VLOOKUP(A6,_HGNC_REF!$A$2:$C$108,3,FALSE())</f>
        <v>HGNC:7562</v>
      </c>
    </row>
    <row r="7" spans="1:5" ht="39.75" customHeight="1">
      <c r="A7" s="3" t="s">
        <v>212</v>
      </c>
      <c r="B7" s="3">
        <v>32958760</v>
      </c>
      <c r="C7" s="4" t="s">
        <v>208</v>
      </c>
      <c r="D7" s="5" t="s">
        <v>213</v>
      </c>
      <c r="E7" t="str">
        <f>VLOOKUP(A7,_HGNC_REF!$A$2:$C$108,3,FALSE())</f>
        <v>HGNC:7794</v>
      </c>
    </row>
    <row r="8" spans="1:5" ht="39.75" customHeight="1">
      <c r="A8" s="3" t="s">
        <v>214</v>
      </c>
      <c r="B8" s="3">
        <v>32958760</v>
      </c>
      <c r="C8" s="4" t="s">
        <v>208</v>
      </c>
      <c r="D8" s="5" t="s">
        <v>215</v>
      </c>
      <c r="E8" t="str">
        <f>VLOOKUP(A8,_HGNC_REF!$A$2:$C$108,3,FALSE())</f>
        <v>HGNC:9955</v>
      </c>
    </row>
    <row r="9" spans="1:5" ht="39.75" customHeight="1">
      <c r="A9" s="3" t="s">
        <v>216</v>
      </c>
      <c r="B9" s="3">
        <v>32958760</v>
      </c>
      <c r="C9" s="4" t="s">
        <v>208</v>
      </c>
      <c r="D9" s="5" t="s">
        <v>217</v>
      </c>
      <c r="E9" t="str">
        <f>VLOOKUP(A9,_HGNC_REF!$A$2:$C$108,3,FALSE())</f>
        <v>HGNC:7797</v>
      </c>
    </row>
    <row r="10" spans="1:5" ht="39.75" customHeight="1">
      <c r="A10" s="3" t="s">
        <v>218</v>
      </c>
      <c r="B10" s="3">
        <v>32958760</v>
      </c>
      <c r="C10" s="4" t="s">
        <v>208</v>
      </c>
      <c r="D10" s="5" t="s">
        <v>219</v>
      </c>
      <c r="E10" t="str">
        <f>VLOOKUP(A10,_HGNC_REF!$A$2:$C$108,3,FALSE())</f>
        <v>HGNC:11892</v>
      </c>
    </row>
    <row r="11" spans="1:5" ht="39.75" customHeight="1">
      <c r="A11" s="3" t="s">
        <v>220</v>
      </c>
      <c r="B11" s="3">
        <v>32958760</v>
      </c>
      <c r="C11" s="4" t="s">
        <v>208</v>
      </c>
      <c r="D11" s="5" t="s">
        <v>221</v>
      </c>
      <c r="E11" t="str">
        <f>VLOOKUP(A11,_HGNC_REF!$A$2:$C$108,3,FALSE())</f>
        <v>HGNC:5992</v>
      </c>
    </row>
    <row r="12" spans="1:5" ht="39.75" customHeight="1">
      <c r="A12" s="3" t="s">
        <v>222</v>
      </c>
      <c r="B12" s="3">
        <v>32958760</v>
      </c>
      <c r="C12" s="4" t="s">
        <v>208</v>
      </c>
      <c r="D12" s="5" t="s">
        <v>223</v>
      </c>
      <c r="E12" t="str">
        <f>VLOOKUP(A12,_HGNC_REF!$A$2:$C$108,3,FALSE())</f>
        <v>HGNC:6018</v>
      </c>
    </row>
    <row r="13" spans="1:5" ht="39.75" customHeight="1">
      <c r="A13" s="3" t="s">
        <v>224</v>
      </c>
      <c r="B13" s="3">
        <v>32958760</v>
      </c>
      <c r="C13" s="4" t="s">
        <v>208</v>
      </c>
      <c r="D13" s="5" t="s">
        <v>225</v>
      </c>
      <c r="E13" t="str">
        <f>VLOOKUP(A13,_HGNC_REF!$A$2:$C$108,3,FALSE())</f>
        <v>HGNC:6025</v>
      </c>
    </row>
    <row r="14" spans="1:5" ht="39.75" customHeight="1">
      <c r="A14" s="3" t="s">
        <v>226</v>
      </c>
      <c r="B14" s="3">
        <v>24186934</v>
      </c>
      <c r="C14" s="4" t="s">
        <v>227</v>
      </c>
      <c r="D14" s="5" t="s">
        <v>228</v>
      </c>
      <c r="E14" t="str">
        <f>VLOOKUP(A14,_HGNC_REF!$A$2:$C$108,3,FALSE())</f>
        <v>HGNC:7176</v>
      </c>
    </row>
    <row r="15" spans="1:5" ht="39.75" customHeight="1">
      <c r="A15" s="3" t="s">
        <v>229</v>
      </c>
      <c r="B15" s="3">
        <v>32958760</v>
      </c>
      <c r="C15" s="4" t="s">
        <v>208</v>
      </c>
      <c r="D15" s="5" t="s">
        <v>230</v>
      </c>
      <c r="E15" t="str">
        <f>VLOOKUP(A15,_HGNC_REF!$A$2:$C$108,3,FALSE())</f>
        <v>HGNC:7873</v>
      </c>
    </row>
    <row r="16" spans="1:5" ht="39.75" customHeight="1">
      <c r="A16" s="3" t="s">
        <v>231</v>
      </c>
      <c r="B16" s="3">
        <v>31036962</v>
      </c>
      <c r="C16" s="4" t="s">
        <v>232</v>
      </c>
      <c r="D16" s="5" t="s">
        <v>233</v>
      </c>
      <c r="E16" t="str">
        <f>VLOOKUP(A16,_HGNC_REF!$A$2:$C$108,3,FALSE())</f>
        <v>HGNC:16400</v>
      </c>
    </row>
    <row r="17" spans="1:5" ht="39.75" customHeight="1">
      <c r="A17" s="3" t="s">
        <v>234</v>
      </c>
      <c r="B17" s="3">
        <v>31036962</v>
      </c>
      <c r="C17" s="4" t="s">
        <v>232</v>
      </c>
      <c r="D17" s="5" t="s">
        <v>235</v>
      </c>
      <c r="E17" t="str">
        <f>VLOOKUP(A17,_HGNC_REF!$A$2:$C$108,3,FALSE())</f>
        <v>HGNC:1499</v>
      </c>
    </row>
    <row r="18" spans="1:5" ht="39.75" customHeight="1">
      <c r="A18" s="3" t="s">
        <v>236</v>
      </c>
      <c r="B18" s="3">
        <v>29880500</v>
      </c>
      <c r="C18" s="4" t="s">
        <v>237</v>
      </c>
      <c r="D18" s="5" t="s">
        <v>238</v>
      </c>
      <c r="E18" t="str">
        <f>VLOOKUP(A18,_HGNC_REF!$A$2:$C$108,3,FALSE())</f>
        <v>HGNC:5986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zoomScaleNormal="100" workbookViewId="0"/>
  </sheetViews>
  <sheetFormatPr baseColWidth="10" defaultColWidth="8.6640625" defaultRowHeight="15"/>
  <cols>
    <col min="1" max="1" width="38" customWidth="1"/>
    <col min="2" max="6" width="40" customWidth="1"/>
  </cols>
  <sheetData>
    <row r="1" spans="1:6">
      <c r="A1" s="2" t="s">
        <v>239</v>
      </c>
    </row>
    <row r="3" spans="1:6">
      <c r="B3" s="2" t="s">
        <v>240</v>
      </c>
      <c r="C3" s="2" t="s">
        <v>241</v>
      </c>
      <c r="D3" s="2" t="s">
        <v>242</v>
      </c>
      <c r="E3" s="2" t="s">
        <v>243</v>
      </c>
      <c r="F3" s="2" t="s">
        <v>244</v>
      </c>
    </row>
    <row r="4" spans="1:6">
      <c r="A4" s="2" t="s">
        <v>240</v>
      </c>
      <c r="B4" s="6">
        <v>1</v>
      </c>
      <c r="C4" s="7">
        <f>IFERROR(SUMPRODUCT((master!$F$2:$F$201="CUSTOM_LEPTIN_MTOR_SIGNALING")*(COUNTIFS(master!$F$2:$F$201,"CUSTOM_MTOR_AUTOPHAGY_LIPOPHAGY_AXIS",master!$A$2:$A$201,master!$A$2:$A$201)&gt;0))/(COUNTIF(master!$F$2:$F$201,"CUSTOM_LEPTIN_MTOR_SIGNALING")+COUNTIF(master!$F$2:$F$201,"CUSTOM_MTOR_AUTOPHAGY_LIPOPHAGY_AXIS")-SUMPRODUCT((master!$F$2:$F$201="CUSTOM_LEPTIN_MTOR_SIGNALING")*(COUNTIFS(master!$F$2:$F$201,"CUSTOM_MTOR_AUTOPHAGY_LIPOPHAGY_AXIS",master!$A$2:$A$201,master!$A$2:$A$201)&gt;0))),0)</f>
        <v>0</v>
      </c>
      <c r="D4" s="7">
        <f>IFERROR(SUMPRODUCT((master!$F$2:$F$201="CUSTOM_LEPTIN_MTOR_SIGNALING")*(COUNTIFS(master!$F$2:$F$201,"CUSTOM_LIPOPHAGY_CORE",master!$A$2:$A$201,master!$A$2:$A$201)&gt;0))/(COUNTIF(master!$F$2:$F$201,"CUSTOM_LEPTIN_MTOR_SIGNALING")+COUNTIF(master!$F$2:$F$201,"CUSTOM_LIPOPHAGY_CORE")-SUMPRODUCT((master!$F$2:$F$201="CUSTOM_LEPTIN_MTOR_SIGNALING")*(COUNTIFS(master!$F$2:$F$201,"CUSTOM_LIPOPHAGY_CORE",master!$A$2:$A$201,master!$A$2:$A$201)&gt;0))),0)</f>
        <v>0</v>
      </c>
      <c r="E4" s="7">
        <f>IFERROR(SUMPRODUCT((master!$F$2:$F$201="CUSTOM_LEPTIN_MTOR_SIGNALING")*(COUNTIFS(master!$F$2:$F$201,"CUSTOM_VIC_OSTEOGENIC_DIFFERENTIATION",master!$A$2:$A$201,master!$A$2:$A$201)&gt;0))/(COUNTIF(master!$F$2:$F$201,"CUSTOM_LEPTIN_MTOR_SIGNALING")+COUNTIF(master!$F$2:$F$201,"CUSTOM_VIC_OSTEOGENIC_DIFFERENTIATION")-SUMPRODUCT((master!$F$2:$F$201="CUSTOM_LEPTIN_MTOR_SIGNALING")*(COUNTIFS(master!$F$2:$F$201,"CUSTOM_VIC_OSTEOGENIC_DIFFERENTIATION",master!$A$2:$A$201,master!$A$2:$A$201)&gt;0))),0)</f>
        <v>0</v>
      </c>
      <c r="F4" s="7">
        <f>IFERROR(SUMPRODUCT((master!$F$2:$F$201="CUSTOM_LEPTIN_MTOR_SIGNALING")*(COUNTIFS(master!$F$2:$F$201,"CUSTOM_S100A9_RAGE_CALCIFICATION",master!$A$2:$A$201,master!$A$2:$A$201)&gt;0))/(COUNTIF(master!$F$2:$F$201,"CUSTOM_LEPTIN_MTOR_SIGNALING")+COUNTIF(master!$F$2:$F$201,"CUSTOM_S100A9_RAGE_CALCIFICATION")-SUMPRODUCT((master!$F$2:$F$201="CUSTOM_LEPTIN_MTOR_SIGNALING")*(COUNTIFS(master!$F$2:$F$201,"CUSTOM_S100A9_RAGE_CALCIFICATION",master!$A$2:$A$201,master!$A$2:$A$201)&gt;0))),0)</f>
        <v>0</v>
      </c>
    </row>
    <row r="5" spans="1:6">
      <c r="A5" s="2" t="s">
        <v>241</v>
      </c>
      <c r="B5" s="7">
        <f>IFERROR(SUMPRODUCT((master!$F$2:$F$201="CUSTOM_MTOR_AUTOPHAGY_LIPOPHAGY_AXIS")*(COUNTIFS(master!$F$2:$F$201,"CUSTOM_LEPTIN_MTOR_SIGNALING",master!$A$2:$A$201,master!$A$2:$A$201)&gt;0))/(COUNTIF(master!$F$2:$F$201,"CUSTOM_MTOR_AUTOPHAGY_LIPOPHAGY_AXIS")+COUNTIF(master!$F$2:$F$201,"CUSTOM_LEPTIN_MTOR_SIGNALING")-SUMPRODUCT((master!$F$2:$F$201="CUSTOM_MTOR_AUTOPHAGY_LIPOPHAGY_AXIS")*(COUNTIFS(master!$F$2:$F$201,"CUSTOM_LEPTIN_MTOR_SIGNALING",master!$A$2:$A$201,master!$A$2:$A$201)&gt;0))),0)</f>
        <v>0</v>
      </c>
      <c r="C5" s="6">
        <v>1</v>
      </c>
      <c r="D5" s="7">
        <f>IFERROR(SUMPRODUCT((master!$F$2:$F$201="CUSTOM_MTOR_AUTOPHAGY_LIPOPHAGY_AXIS")*(COUNTIFS(master!$F$2:$F$201,"CUSTOM_LIPOPHAGY_CORE",master!$A$2:$A$201,master!$A$2:$A$201)&gt;0))/(COUNTIF(master!$F$2:$F$201,"CUSTOM_MTOR_AUTOPHAGY_LIPOPHAGY_AXIS")+COUNTIF(master!$F$2:$F$201,"CUSTOM_LIPOPHAGY_CORE")-SUMPRODUCT((master!$F$2:$F$201="CUSTOM_MTOR_AUTOPHAGY_LIPOPHAGY_AXIS")*(COUNTIFS(master!$F$2:$F$201,"CUSTOM_LIPOPHAGY_CORE",master!$A$2:$A$201,master!$A$2:$A$201)&gt;0))),0)</f>
        <v>2.4390243902439025E-2</v>
      </c>
      <c r="E5" s="7">
        <f>IFERROR(SUMPRODUCT((master!$F$2:$F$201="CUSTOM_MTOR_AUTOPHAGY_LIPOPHAGY_AXIS")*(COUNTIFS(master!$F$2:$F$201,"CUSTOM_VIC_OSTEOGENIC_DIFFERENTIATION",master!$A$2:$A$201,master!$A$2:$A$201)&gt;0))/(COUNTIF(master!$F$2:$F$201,"CUSTOM_MTOR_AUTOPHAGY_LIPOPHAGY_AXIS")+COUNTIF(master!$F$2:$F$201,"CUSTOM_VIC_OSTEOGENIC_DIFFERENTIATION")-SUMPRODUCT((master!$F$2:$F$201="CUSTOM_MTOR_AUTOPHAGY_LIPOPHAGY_AXIS")*(COUNTIFS(master!$F$2:$F$201,"CUSTOM_VIC_OSTEOGENIC_DIFFERENTIATION",master!$A$2:$A$201,master!$A$2:$A$201)&gt;0))),0)</f>
        <v>0</v>
      </c>
      <c r="F5" s="7">
        <f>IFERROR(SUMPRODUCT((master!$F$2:$F$201="CUSTOM_MTOR_AUTOPHAGY_LIPOPHAGY_AXIS")*(COUNTIFS(master!$F$2:$F$201,"CUSTOM_S100A9_RAGE_CALCIFICATION",master!$A$2:$A$201,master!$A$2:$A$201)&gt;0))/(COUNTIF(master!$F$2:$F$201,"CUSTOM_MTOR_AUTOPHAGY_LIPOPHAGY_AXIS")+COUNTIF(master!$F$2:$F$201,"CUSTOM_S100A9_RAGE_CALCIFICATION")-SUMPRODUCT((master!$F$2:$F$201="CUSTOM_MTOR_AUTOPHAGY_LIPOPHAGY_AXIS")*(COUNTIFS(master!$F$2:$F$201,"CUSTOM_S100A9_RAGE_CALCIFICATION",master!$A$2:$A$201,master!$A$2:$A$201)&gt;0))),0)</f>
        <v>0</v>
      </c>
    </row>
    <row r="6" spans="1:6">
      <c r="A6" s="2" t="s">
        <v>242</v>
      </c>
      <c r="B6" s="7">
        <f>IFERROR(SUMPRODUCT((master!$F$2:$F$201="CUSTOM_LIPOPHAGY_CORE")*(COUNTIFS(master!$F$2:$F$201,"CUSTOM_LEPTIN_MTOR_SIGNALING",master!$A$2:$A$201,master!$A$2:$A$201)&gt;0))/(COUNTIF(master!$F$2:$F$201,"CUSTOM_LIPOPHAGY_CORE")+COUNTIF(master!$F$2:$F$201,"CUSTOM_LEPTIN_MTOR_SIGNALING")-SUMPRODUCT((master!$F$2:$F$201="CUSTOM_LIPOPHAGY_CORE")*(COUNTIFS(master!$F$2:$F$201,"CUSTOM_LEPTIN_MTOR_SIGNALING",master!$A$2:$A$201,master!$A$2:$A$201)&gt;0))),0)</f>
        <v>0</v>
      </c>
      <c r="C6" s="7">
        <f>IFERROR(SUMPRODUCT((master!$F$2:$F$201="CUSTOM_LIPOPHAGY_CORE")*(COUNTIFS(master!$F$2:$F$201,"CUSTOM_MTOR_AUTOPHAGY_LIPOPHAGY_AXIS",master!$A$2:$A$201,master!$A$2:$A$201)&gt;0))/(COUNTIF(master!$F$2:$F$201,"CUSTOM_LIPOPHAGY_CORE")+COUNTIF(master!$F$2:$F$201,"CUSTOM_MTOR_AUTOPHAGY_LIPOPHAGY_AXIS")-SUMPRODUCT((master!$F$2:$F$201="CUSTOM_LIPOPHAGY_CORE")*(COUNTIFS(master!$F$2:$F$201,"CUSTOM_MTOR_AUTOPHAGY_LIPOPHAGY_AXIS",master!$A$2:$A$201,master!$A$2:$A$201)&gt;0))),0)</f>
        <v>2.4390243902439025E-2</v>
      </c>
      <c r="D6" s="6">
        <v>1</v>
      </c>
      <c r="E6" s="7">
        <f>IFERROR(SUMPRODUCT((master!$F$2:$F$201="CUSTOM_LIPOPHAGY_CORE")*(COUNTIFS(master!$F$2:$F$201,"CUSTOM_VIC_OSTEOGENIC_DIFFERENTIATION",master!$A$2:$A$201,master!$A$2:$A$201)&gt;0))/(COUNTIF(master!$F$2:$F$201,"CUSTOM_LIPOPHAGY_CORE")+COUNTIF(master!$F$2:$F$201,"CUSTOM_VIC_OSTEOGENIC_DIFFERENTIATION")-SUMPRODUCT((master!$F$2:$F$201="CUSTOM_LIPOPHAGY_CORE")*(COUNTIFS(master!$F$2:$F$201,"CUSTOM_VIC_OSTEOGENIC_DIFFERENTIATION",master!$A$2:$A$201,master!$A$2:$A$201)&gt;0))),0)</f>
        <v>0</v>
      </c>
      <c r="F6" s="7">
        <f>IFERROR(SUMPRODUCT((master!$F$2:$F$201="CUSTOM_LIPOPHAGY_CORE")*(COUNTIFS(master!$F$2:$F$201,"CUSTOM_S100A9_RAGE_CALCIFICATION",master!$A$2:$A$201,master!$A$2:$A$201)&gt;0))/(COUNTIF(master!$F$2:$F$201,"CUSTOM_LIPOPHAGY_CORE")+COUNTIF(master!$F$2:$F$201,"CUSTOM_S100A9_RAGE_CALCIFICATION")-SUMPRODUCT((master!$F$2:$F$201="CUSTOM_LIPOPHAGY_CORE")*(COUNTIFS(master!$F$2:$F$201,"CUSTOM_S100A9_RAGE_CALCIFICATION",master!$A$2:$A$201,master!$A$2:$A$201)&gt;0))),0)</f>
        <v>0</v>
      </c>
    </row>
    <row r="7" spans="1:6">
      <c r="A7" s="2" t="s">
        <v>243</v>
      </c>
      <c r="B7" s="7">
        <f>IFERROR(SUMPRODUCT((master!$F$2:$F$201="CUSTOM_VIC_OSTEOGENIC_DIFFERENTIATION")*(COUNTIFS(master!$F$2:$F$201,"CUSTOM_LEPTIN_MTOR_SIGNALING",master!$A$2:$A$201,master!$A$2:$A$201)&gt;0))/(COUNTIF(master!$F$2:$F$201,"CUSTOM_VIC_OSTEOGENIC_DIFFERENTIATION")+COUNTIF(master!$F$2:$F$201,"CUSTOM_LEPTIN_MTOR_SIGNALING")-SUMPRODUCT((master!$F$2:$F$201="CUSTOM_VIC_OSTEOGENIC_DIFFERENTIATION")*(COUNTIFS(master!$F$2:$F$201,"CUSTOM_LEPTIN_MTOR_SIGNALING",master!$A$2:$A$201,master!$A$2:$A$201)&gt;0))),0)</f>
        <v>0</v>
      </c>
      <c r="C7" s="7">
        <f>IFERROR(SUMPRODUCT((master!$F$2:$F$201="CUSTOM_VIC_OSTEOGENIC_DIFFERENTIATION")*(COUNTIFS(master!$F$2:$F$201,"CUSTOM_MTOR_AUTOPHAGY_LIPOPHAGY_AXIS",master!$A$2:$A$201,master!$A$2:$A$201)&gt;0))/(COUNTIF(master!$F$2:$F$201,"CUSTOM_VIC_OSTEOGENIC_DIFFERENTIATION")+COUNTIF(master!$F$2:$F$201,"CUSTOM_MTOR_AUTOPHAGY_LIPOPHAGY_AXIS")-SUMPRODUCT((master!$F$2:$F$201="CUSTOM_VIC_OSTEOGENIC_DIFFERENTIATION")*(COUNTIFS(master!$F$2:$F$201,"CUSTOM_MTOR_AUTOPHAGY_LIPOPHAGY_AXIS",master!$A$2:$A$201,master!$A$2:$A$201)&gt;0))),0)</f>
        <v>0</v>
      </c>
      <c r="D7" s="7">
        <f>IFERROR(SUMPRODUCT((master!$F$2:$F$201="CUSTOM_VIC_OSTEOGENIC_DIFFERENTIATION")*(COUNTIFS(master!$F$2:$F$201,"CUSTOM_LIPOPHAGY_CORE",master!$A$2:$A$201,master!$A$2:$A$201)&gt;0))/(COUNTIF(master!$F$2:$F$201,"CUSTOM_VIC_OSTEOGENIC_DIFFERENTIATION")+COUNTIF(master!$F$2:$F$201,"CUSTOM_LIPOPHAGY_CORE")-SUMPRODUCT((master!$F$2:$F$201="CUSTOM_VIC_OSTEOGENIC_DIFFERENTIATION")*(COUNTIFS(master!$F$2:$F$201,"CUSTOM_LIPOPHAGY_CORE",master!$A$2:$A$201,master!$A$2:$A$201)&gt;0))),0)</f>
        <v>0</v>
      </c>
      <c r="E7" s="6">
        <v>1</v>
      </c>
      <c r="F7" s="7">
        <f>IFERROR(SUMPRODUCT((master!$F$2:$F$201="CUSTOM_VIC_OSTEOGENIC_DIFFERENTIATION")*(COUNTIFS(master!$F$2:$F$201,"CUSTOM_S100A9_RAGE_CALCIFICATION",master!$A$2:$A$201,master!$A$2:$A$201)&gt;0))/(COUNTIF(master!$F$2:$F$201,"CUSTOM_VIC_OSTEOGENIC_DIFFERENTIATION")+COUNTIF(master!$F$2:$F$201,"CUSTOM_S100A9_RAGE_CALCIFICATION")-SUMPRODUCT((master!$F$2:$F$201="CUSTOM_VIC_OSTEOGENIC_DIFFERENTIATION")*(COUNTIFS(master!$F$2:$F$201,"CUSTOM_S100A9_RAGE_CALCIFICATION",master!$A$2:$A$201,master!$A$2:$A$201)&gt;0))),0)</f>
        <v>0</v>
      </c>
    </row>
    <row r="8" spans="1:6">
      <c r="A8" s="2" t="s">
        <v>244</v>
      </c>
      <c r="B8" s="7">
        <f>IFERROR(SUMPRODUCT((master!$F$2:$F$201="CUSTOM_S100A9_RAGE_CALCIFICATION")*(COUNTIFS(master!$F$2:$F$201,"CUSTOM_LEPTIN_MTOR_SIGNALING",master!$A$2:$A$201,master!$A$2:$A$201)&gt;0))/(COUNTIF(master!$F$2:$F$201,"CUSTOM_S100A9_RAGE_CALCIFICATION")+COUNTIF(master!$F$2:$F$201,"CUSTOM_LEPTIN_MTOR_SIGNALING")-SUMPRODUCT((master!$F$2:$F$201="CUSTOM_S100A9_RAGE_CALCIFICATION")*(COUNTIFS(master!$F$2:$F$201,"CUSTOM_LEPTIN_MTOR_SIGNALING",master!$A$2:$A$201,master!$A$2:$A$201)&gt;0))),0)</f>
        <v>0</v>
      </c>
      <c r="C8" s="7">
        <f>IFERROR(SUMPRODUCT((master!$F$2:$F$201="CUSTOM_S100A9_RAGE_CALCIFICATION")*(COUNTIFS(master!$F$2:$F$201,"CUSTOM_MTOR_AUTOPHAGY_LIPOPHAGY_AXIS",master!$A$2:$A$201,master!$A$2:$A$201)&gt;0))/(COUNTIF(master!$F$2:$F$201,"CUSTOM_S100A9_RAGE_CALCIFICATION")+COUNTIF(master!$F$2:$F$201,"CUSTOM_MTOR_AUTOPHAGY_LIPOPHAGY_AXIS")-SUMPRODUCT((master!$F$2:$F$201="CUSTOM_S100A9_RAGE_CALCIFICATION")*(COUNTIFS(master!$F$2:$F$201,"CUSTOM_MTOR_AUTOPHAGY_LIPOPHAGY_AXIS",master!$A$2:$A$201,master!$A$2:$A$201)&gt;0))),0)</f>
        <v>0</v>
      </c>
      <c r="D8" s="7">
        <f>IFERROR(SUMPRODUCT((master!$F$2:$F$201="CUSTOM_S100A9_RAGE_CALCIFICATION")*(COUNTIFS(master!$F$2:$F$201,"CUSTOM_LIPOPHAGY_CORE",master!$A$2:$A$201,master!$A$2:$A$201)&gt;0))/(COUNTIF(master!$F$2:$F$201,"CUSTOM_S100A9_RAGE_CALCIFICATION")+COUNTIF(master!$F$2:$F$201,"CUSTOM_LIPOPHAGY_CORE")-SUMPRODUCT((master!$F$2:$F$201="CUSTOM_S100A9_RAGE_CALCIFICATION")*(COUNTIFS(master!$F$2:$F$201,"CUSTOM_LIPOPHAGY_CORE",master!$A$2:$A$201,master!$A$2:$A$201)&gt;0))),0)</f>
        <v>0</v>
      </c>
      <c r="E8" s="7">
        <f>IFERROR(SUMPRODUCT((master!$F$2:$F$201="CUSTOM_S100A9_RAGE_CALCIFICATION")*(COUNTIFS(master!$F$2:$F$201,"CUSTOM_VIC_OSTEOGENIC_DIFFERENTIATION",master!$A$2:$A$201,master!$A$2:$A$201)&gt;0))/(COUNTIF(master!$F$2:$F$201,"CUSTOM_S100A9_RAGE_CALCIFICATION")+COUNTIF(master!$F$2:$F$201,"CUSTOM_VIC_OSTEOGENIC_DIFFERENTIATION")-SUMPRODUCT((master!$F$2:$F$201="CUSTOM_S100A9_RAGE_CALCIFICATION")*(COUNTIFS(master!$F$2:$F$201,"CUSTOM_VIC_OSTEOGENIC_DIFFERENTIATION",master!$A$2:$A$201,master!$A$2:$A$201)&gt;0))),0)</f>
        <v>0</v>
      </c>
      <c r="F8" s="6">
        <v>1</v>
      </c>
    </row>
    <row r="10" spans="1:6">
      <c r="A10" s="8" t="s">
        <v>245</v>
      </c>
      <c r="B10" s="9">
        <f>COUNTIF(master!$F$2:$F$201,"CUSTOM_LEPTIN_MTOR_SIGNALING")</f>
        <v>22</v>
      </c>
      <c r="C10" s="9">
        <f>COUNTIF(master!$F$2:$F$201,"CUSTOM_MTOR_AUTOPHAGY_LIPOPHAGY_AXIS")</f>
        <v>20</v>
      </c>
      <c r="D10" s="9">
        <f>COUNTIF(master!$F$2:$F$201,"CUSTOM_LIPOPHAGY_CORE")</f>
        <v>22</v>
      </c>
      <c r="E10" s="9">
        <f>COUNTIF(master!$F$2:$F$201,"CUSTOM_VIC_OSTEOGENIC_DIFFERENTIATION")</f>
        <v>27</v>
      </c>
      <c r="F10" s="9">
        <f>COUNTIF(master!$F$2:$F$201,"CUSTOM_S100A9_RAGE_CALCIFICATION")</f>
        <v>17</v>
      </c>
    </row>
    <row r="13" spans="1:6">
      <c r="A13" s="2" t="s">
        <v>246</v>
      </c>
    </row>
    <row r="14" spans="1:6">
      <c r="A14" s="2" t="s">
        <v>247</v>
      </c>
      <c r="B14" s="2" t="s">
        <v>248</v>
      </c>
      <c r="C14" s="2" t="s">
        <v>249</v>
      </c>
      <c r="D14" s="2" t="s">
        <v>250</v>
      </c>
      <c r="E14" s="2" t="s">
        <v>251</v>
      </c>
    </row>
    <row r="15" spans="1:6">
      <c r="A15" t="s">
        <v>252</v>
      </c>
      <c r="B15" s="7">
        <f>C4</f>
        <v>0</v>
      </c>
      <c r="C15">
        <v>0</v>
      </c>
      <c r="D15" t="s">
        <v>253</v>
      </c>
      <c r="E15" t="s">
        <v>254</v>
      </c>
    </row>
    <row r="16" spans="1:6">
      <c r="A16" t="s">
        <v>255</v>
      </c>
      <c r="B16" s="7">
        <f>D4</f>
        <v>0</v>
      </c>
      <c r="C16">
        <v>0</v>
      </c>
      <c r="D16" t="s">
        <v>253</v>
      </c>
      <c r="E16" t="s">
        <v>254</v>
      </c>
    </row>
    <row r="17" spans="1:5">
      <c r="A17" t="s">
        <v>256</v>
      </c>
      <c r="B17" s="7">
        <f>E4</f>
        <v>0</v>
      </c>
      <c r="C17">
        <v>0</v>
      </c>
      <c r="D17" t="s">
        <v>253</v>
      </c>
      <c r="E17" t="s">
        <v>254</v>
      </c>
    </row>
    <row r="18" spans="1:5">
      <c r="A18" t="s">
        <v>257</v>
      </c>
      <c r="B18" s="7">
        <f>F4</f>
        <v>0</v>
      </c>
      <c r="C18">
        <v>0</v>
      </c>
      <c r="D18" t="s">
        <v>253</v>
      </c>
      <c r="E18" t="s">
        <v>254</v>
      </c>
    </row>
    <row r="19" spans="1:5">
      <c r="A19" t="s">
        <v>258</v>
      </c>
      <c r="B19" s="7">
        <f>D5</f>
        <v>2.4390243902439025E-2</v>
      </c>
      <c r="C19">
        <v>1</v>
      </c>
      <c r="D19" t="s">
        <v>78</v>
      </c>
      <c r="E19" t="s">
        <v>254</v>
      </c>
    </row>
    <row r="20" spans="1:5">
      <c r="A20" t="s">
        <v>259</v>
      </c>
      <c r="B20" s="7">
        <f>E5</f>
        <v>0</v>
      </c>
      <c r="C20">
        <v>0</v>
      </c>
      <c r="D20" t="s">
        <v>253</v>
      </c>
      <c r="E20" t="s">
        <v>254</v>
      </c>
    </row>
    <row r="21" spans="1:5">
      <c r="A21" t="s">
        <v>260</v>
      </c>
      <c r="B21" s="7">
        <f>F5</f>
        <v>0</v>
      </c>
      <c r="C21">
        <v>0</v>
      </c>
      <c r="D21" t="s">
        <v>253</v>
      </c>
      <c r="E21" t="s">
        <v>254</v>
      </c>
    </row>
    <row r="22" spans="1:5">
      <c r="A22" t="s">
        <v>261</v>
      </c>
      <c r="B22" s="7">
        <f>E6</f>
        <v>0</v>
      </c>
      <c r="C22">
        <v>0</v>
      </c>
      <c r="D22" t="s">
        <v>253</v>
      </c>
      <c r="E22" t="s">
        <v>254</v>
      </c>
    </row>
    <row r="23" spans="1:5">
      <c r="A23" t="s">
        <v>262</v>
      </c>
      <c r="B23" s="7">
        <f>F6</f>
        <v>0</v>
      </c>
      <c r="C23">
        <v>0</v>
      </c>
      <c r="D23" t="s">
        <v>253</v>
      </c>
      <c r="E23" t="s">
        <v>254</v>
      </c>
    </row>
    <row r="24" spans="1:5">
      <c r="A24" t="s">
        <v>263</v>
      </c>
      <c r="B24" s="7">
        <f>F7</f>
        <v>0</v>
      </c>
      <c r="C24">
        <v>0</v>
      </c>
      <c r="D24" t="s">
        <v>253</v>
      </c>
      <c r="E24" t="s">
        <v>254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9"/>
  <sheetViews>
    <sheetView tabSelected="1" topLeftCell="C1" zoomScaleNormal="100" workbookViewId="0">
      <selection activeCell="F115" sqref="F115"/>
    </sheetView>
  </sheetViews>
  <sheetFormatPr baseColWidth="10" defaultColWidth="8.6640625" defaultRowHeight="15"/>
  <cols>
    <col min="1" max="1" width="14" customWidth="1"/>
    <col min="2" max="2" width="12" customWidth="1"/>
    <col min="3" max="3" width="38" customWidth="1"/>
    <col min="4" max="4" width="70" customWidth="1"/>
    <col min="5" max="5" width="14" customWidth="1"/>
    <col min="6" max="6" width="40" customWidth="1"/>
    <col min="7" max="7" width="16" customWidth="1"/>
    <col min="8" max="8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264</v>
      </c>
      <c r="G1" s="2" t="s">
        <v>265</v>
      </c>
      <c r="H1" s="2" t="s">
        <v>266</v>
      </c>
    </row>
    <row r="2" spans="1:8">
      <c r="A2" t="s">
        <v>5</v>
      </c>
      <c r="B2">
        <v>37724323</v>
      </c>
      <c r="C2" t="s">
        <v>6</v>
      </c>
      <c r="D2" t="s">
        <v>7</v>
      </c>
      <c r="E2" t="str">
        <f>VLOOKUP(A2,_HGNC_REF!$A$2:$C$108,3,FALSE())</f>
        <v>HGNC:6553</v>
      </c>
      <c r="F2" t="s">
        <v>240</v>
      </c>
      <c r="G2" t="s">
        <v>601</v>
      </c>
      <c r="H2" s="10" t="s">
        <v>267</v>
      </c>
    </row>
    <row r="3" spans="1:8">
      <c r="A3" t="s">
        <v>8</v>
      </c>
      <c r="B3">
        <v>37724323</v>
      </c>
      <c r="C3" t="s">
        <v>6</v>
      </c>
      <c r="D3" t="s">
        <v>9</v>
      </c>
      <c r="E3" t="str">
        <f>VLOOKUP(A3,_HGNC_REF!$A$2:$C$108,3,FALSE())</f>
        <v>HGNC:6554</v>
      </c>
      <c r="F3" t="s">
        <v>240</v>
      </c>
      <c r="G3" t="s">
        <v>601</v>
      </c>
      <c r="H3" s="10" t="s">
        <v>267</v>
      </c>
    </row>
    <row r="4" spans="1:8">
      <c r="A4" t="s">
        <v>10</v>
      </c>
      <c r="B4">
        <v>37724323</v>
      </c>
      <c r="C4" t="s">
        <v>6</v>
      </c>
      <c r="D4" t="s">
        <v>11</v>
      </c>
      <c r="E4" t="str">
        <f>VLOOKUP(A4,_HGNC_REF!$A$2:$C$108,3,FALSE())</f>
        <v>HGNC:6192</v>
      </c>
      <c r="F4" t="s">
        <v>240</v>
      </c>
      <c r="G4" t="s">
        <v>601</v>
      </c>
      <c r="H4" s="10" t="s">
        <v>267</v>
      </c>
    </row>
    <row r="5" spans="1:8">
      <c r="A5" t="s">
        <v>12</v>
      </c>
      <c r="B5">
        <v>37724323</v>
      </c>
      <c r="C5" t="s">
        <v>6</v>
      </c>
      <c r="D5" t="s">
        <v>13</v>
      </c>
      <c r="E5" t="str">
        <f>VLOOKUP(A5,_HGNC_REF!$A$2:$C$108,3,FALSE())</f>
        <v>HGNC:11364</v>
      </c>
      <c r="F5" t="s">
        <v>240</v>
      </c>
      <c r="G5" t="s">
        <v>601</v>
      </c>
      <c r="H5" s="10" t="s">
        <v>267</v>
      </c>
    </row>
    <row r="6" spans="1:8">
      <c r="A6" t="s">
        <v>14</v>
      </c>
      <c r="B6">
        <v>28283069</v>
      </c>
      <c r="C6" t="s">
        <v>15</v>
      </c>
      <c r="D6" t="s">
        <v>16</v>
      </c>
      <c r="E6" t="str">
        <f>VLOOKUP(A6,_HGNC_REF!$A$2:$C$108,3,FALSE())</f>
        <v>HGNC:8975</v>
      </c>
      <c r="F6" t="s">
        <v>240</v>
      </c>
      <c r="G6" t="s">
        <v>601</v>
      </c>
      <c r="H6" s="10" t="s">
        <v>267</v>
      </c>
    </row>
    <row r="7" spans="1:8">
      <c r="A7" t="s">
        <v>17</v>
      </c>
      <c r="B7">
        <v>28283069</v>
      </c>
      <c r="C7" t="s">
        <v>15</v>
      </c>
      <c r="D7" t="s">
        <v>18</v>
      </c>
      <c r="E7" t="str">
        <f>VLOOKUP(A7,_HGNC_REF!$A$2:$C$108,3,FALSE())</f>
        <v>HGNC:8976</v>
      </c>
      <c r="F7" t="s">
        <v>240</v>
      </c>
      <c r="G7" t="s">
        <v>601</v>
      </c>
      <c r="H7" s="10" t="s">
        <v>267</v>
      </c>
    </row>
    <row r="8" spans="1:8">
      <c r="A8" t="s">
        <v>19</v>
      </c>
      <c r="B8">
        <v>28283069</v>
      </c>
      <c r="C8" t="s">
        <v>15</v>
      </c>
      <c r="D8" t="s">
        <v>20</v>
      </c>
      <c r="E8" t="str">
        <f>VLOOKUP(A8,_HGNC_REF!$A$2:$C$108,3,FALSE())</f>
        <v>HGNC:391</v>
      </c>
      <c r="F8" t="s">
        <v>240</v>
      </c>
      <c r="G8" t="s">
        <v>601</v>
      </c>
      <c r="H8" s="10" t="s">
        <v>267</v>
      </c>
    </row>
    <row r="9" spans="1:8">
      <c r="A9" t="s">
        <v>21</v>
      </c>
      <c r="B9">
        <v>28283069</v>
      </c>
      <c r="C9" t="s">
        <v>15</v>
      </c>
      <c r="D9" t="s">
        <v>22</v>
      </c>
      <c r="E9" t="str">
        <f>VLOOKUP(A9,_HGNC_REF!$A$2:$C$108,3,FALSE())</f>
        <v>HGNC:392</v>
      </c>
      <c r="F9" t="s">
        <v>240</v>
      </c>
      <c r="G9" t="s">
        <v>601</v>
      </c>
      <c r="H9" s="10" t="s">
        <v>267</v>
      </c>
    </row>
    <row r="10" spans="1:8">
      <c r="A10" t="s">
        <v>23</v>
      </c>
      <c r="B10">
        <v>28283069</v>
      </c>
      <c r="C10" t="s">
        <v>15</v>
      </c>
      <c r="D10" t="s">
        <v>24</v>
      </c>
      <c r="E10" t="str">
        <f>VLOOKUP(A10,_HGNC_REF!$A$2:$C$108,3,FALSE())</f>
        <v>HGNC:3942</v>
      </c>
      <c r="F10" t="s">
        <v>240</v>
      </c>
      <c r="G10" t="s">
        <v>601</v>
      </c>
      <c r="H10" s="10" t="s">
        <v>267</v>
      </c>
    </row>
    <row r="11" spans="1:8">
      <c r="A11" t="s">
        <v>25</v>
      </c>
      <c r="B11">
        <v>28283069</v>
      </c>
      <c r="C11" t="s">
        <v>15</v>
      </c>
      <c r="D11" t="s">
        <v>26</v>
      </c>
      <c r="E11" t="str">
        <f>VLOOKUP(A11,_HGNC_REF!$A$2:$C$108,3,FALSE())</f>
        <v>HGNC:30287</v>
      </c>
      <c r="F11" t="s">
        <v>240</v>
      </c>
      <c r="G11" t="s">
        <v>601</v>
      </c>
      <c r="H11" s="10" t="s">
        <v>267</v>
      </c>
    </row>
    <row r="12" spans="1:8">
      <c r="A12" t="s">
        <v>27</v>
      </c>
      <c r="B12">
        <v>28283069</v>
      </c>
      <c r="C12" t="s">
        <v>15</v>
      </c>
      <c r="D12" t="s">
        <v>28</v>
      </c>
      <c r="E12" t="str">
        <f>VLOOKUP(A12,_HGNC_REF!$A$2:$C$108,3,FALSE())</f>
        <v>HGNC:22953</v>
      </c>
      <c r="F12" t="s">
        <v>240</v>
      </c>
      <c r="G12" t="s">
        <v>601</v>
      </c>
      <c r="H12" s="10" t="s">
        <v>267</v>
      </c>
    </row>
    <row r="13" spans="1:8">
      <c r="A13" t="s">
        <v>29</v>
      </c>
      <c r="B13">
        <v>28283069</v>
      </c>
      <c r="C13" t="s">
        <v>15</v>
      </c>
      <c r="D13" t="s">
        <v>30</v>
      </c>
      <c r="E13" t="str">
        <f>VLOOKUP(A13,_HGNC_REF!$A$2:$C$108,3,FALSE())</f>
        <v>HGNC:12362</v>
      </c>
      <c r="F13" t="s">
        <v>240</v>
      </c>
      <c r="G13" t="s">
        <v>601</v>
      </c>
      <c r="H13" s="10" t="s">
        <v>267</v>
      </c>
    </row>
    <row r="14" spans="1:8">
      <c r="A14" t="s">
        <v>31</v>
      </c>
      <c r="B14">
        <v>28283069</v>
      </c>
      <c r="C14" t="s">
        <v>15</v>
      </c>
      <c r="D14" t="s">
        <v>32</v>
      </c>
      <c r="E14" t="str">
        <f>VLOOKUP(A14,_HGNC_REF!$A$2:$C$108,3,FALSE())</f>
        <v>HGNC:12363</v>
      </c>
      <c r="F14" t="s">
        <v>240</v>
      </c>
      <c r="G14" t="s">
        <v>601</v>
      </c>
      <c r="H14" s="10" t="s">
        <v>267</v>
      </c>
    </row>
    <row r="15" spans="1:8">
      <c r="A15" t="s">
        <v>33</v>
      </c>
      <c r="B15">
        <v>28283069</v>
      </c>
      <c r="C15" t="s">
        <v>15</v>
      </c>
      <c r="D15" t="s">
        <v>34</v>
      </c>
      <c r="E15" t="str">
        <f>VLOOKUP(A15,_HGNC_REF!$A$2:$C$108,3,FALSE())</f>
        <v>HGNC:10011</v>
      </c>
      <c r="F15" t="s">
        <v>240</v>
      </c>
      <c r="G15" t="s">
        <v>601</v>
      </c>
      <c r="H15" s="10" t="s">
        <v>267</v>
      </c>
    </row>
    <row r="16" spans="1:8">
      <c r="A16" t="s">
        <v>35</v>
      </c>
      <c r="B16">
        <v>28283069</v>
      </c>
      <c r="C16" t="s">
        <v>15</v>
      </c>
      <c r="D16" t="s">
        <v>36</v>
      </c>
      <c r="E16" t="str">
        <f>VLOOKUP(A16,_HGNC_REF!$A$2:$C$108,3,FALSE())</f>
        <v>HGNC:10436</v>
      </c>
      <c r="F16" t="s">
        <v>240</v>
      </c>
      <c r="G16" t="s">
        <v>601</v>
      </c>
      <c r="H16" s="10" t="s">
        <v>267</v>
      </c>
    </row>
    <row r="17" spans="1:8">
      <c r="A17" t="s">
        <v>37</v>
      </c>
      <c r="B17">
        <v>28283069</v>
      </c>
      <c r="C17" t="s">
        <v>15</v>
      </c>
      <c r="D17" t="s">
        <v>38</v>
      </c>
      <c r="E17" t="str">
        <f>VLOOKUP(A17,_HGNC_REF!$A$2:$C$108,3,FALSE())</f>
        <v>HGNC:3288</v>
      </c>
      <c r="F17" t="s">
        <v>240</v>
      </c>
      <c r="G17" t="s">
        <v>601</v>
      </c>
      <c r="H17" s="10" t="s">
        <v>267</v>
      </c>
    </row>
    <row r="18" spans="1:8">
      <c r="A18" t="s">
        <v>39</v>
      </c>
      <c r="B18">
        <v>28283069</v>
      </c>
      <c r="C18" t="s">
        <v>15</v>
      </c>
      <c r="D18" t="s">
        <v>40</v>
      </c>
      <c r="E18" t="str">
        <f>VLOOKUP(A18,_HGNC_REF!$A$2:$C$108,3,FALSE())</f>
        <v>HGNC:10429</v>
      </c>
      <c r="F18" t="s">
        <v>240</v>
      </c>
      <c r="G18" t="s">
        <v>601</v>
      </c>
      <c r="H18" s="10" t="s">
        <v>267</v>
      </c>
    </row>
    <row r="19" spans="1:8">
      <c r="A19" t="s">
        <v>41</v>
      </c>
      <c r="B19">
        <v>37724323</v>
      </c>
      <c r="C19" t="s">
        <v>6</v>
      </c>
      <c r="D19" t="s">
        <v>42</v>
      </c>
      <c r="E19" t="str">
        <f>VLOOKUP(A19,_HGNC_REF!$A$2:$C$108,3,FALSE())</f>
        <v>HGNC:19391</v>
      </c>
      <c r="F19" t="s">
        <v>240</v>
      </c>
      <c r="G19" t="s">
        <v>601</v>
      </c>
      <c r="H19" s="10" t="s">
        <v>267</v>
      </c>
    </row>
    <row r="20" spans="1:8">
      <c r="A20" t="s">
        <v>43</v>
      </c>
      <c r="B20">
        <v>37724323</v>
      </c>
      <c r="C20" t="s">
        <v>6</v>
      </c>
      <c r="D20" t="s">
        <v>44</v>
      </c>
      <c r="E20" t="str">
        <f>VLOOKUP(A20,_HGNC_REF!$A$2:$C$108,3,FALSE())</f>
        <v>HGNC:6125</v>
      </c>
      <c r="F20" t="s">
        <v>240</v>
      </c>
      <c r="G20" t="s">
        <v>601</v>
      </c>
      <c r="H20" s="10" t="s">
        <v>267</v>
      </c>
    </row>
    <row r="21" spans="1:8">
      <c r="A21" t="s">
        <v>45</v>
      </c>
      <c r="B21">
        <v>37724323</v>
      </c>
      <c r="C21" t="s">
        <v>6</v>
      </c>
      <c r="D21" t="s">
        <v>46</v>
      </c>
      <c r="E21" t="str">
        <f>VLOOKUP(A21,_HGNC_REF!$A$2:$C$108,3,FALSE())</f>
        <v>HGNC:6126</v>
      </c>
      <c r="F21" t="s">
        <v>240</v>
      </c>
      <c r="G21" t="s">
        <v>601</v>
      </c>
      <c r="H21" s="10" t="s">
        <v>267</v>
      </c>
    </row>
    <row r="22" spans="1:8">
      <c r="A22" t="s">
        <v>47</v>
      </c>
      <c r="B22">
        <v>28283069</v>
      </c>
      <c r="C22" t="s">
        <v>15</v>
      </c>
      <c r="D22" t="s">
        <v>48</v>
      </c>
      <c r="E22" t="str">
        <f>VLOOKUP(A22,_HGNC_REF!$A$2:$C$108,3,FALSE())</f>
        <v>HGNC:9588</v>
      </c>
      <c r="F22" t="s">
        <v>240</v>
      </c>
      <c r="G22" t="s">
        <v>601</v>
      </c>
      <c r="H22" s="10" t="s">
        <v>267</v>
      </c>
    </row>
    <row r="23" spans="1:8">
      <c r="A23" t="s">
        <v>49</v>
      </c>
      <c r="B23">
        <v>37724323</v>
      </c>
      <c r="C23" t="s">
        <v>6</v>
      </c>
      <c r="D23" t="s">
        <v>50</v>
      </c>
      <c r="E23" t="str">
        <f>VLOOKUP(A23,_HGNC_REF!$A$2:$C$108,3,FALSE())</f>
        <v>HGNC:3819</v>
      </c>
      <c r="F23" t="s">
        <v>240</v>
      </c>
      <c r="G23" t="s">
        <v>601</v>
      </c>
      <c r="H23" s="10" t="s">
        <v>267</v>
      </c>
    </row>
    <row r="24" spans="1:8">
      <c r="A24" t="s">
        <v>51</v>
      </c>
      <c r="B24">
        <v>30633901</v>
      </c>
      <c r="C24" t="s">
        <v>52</v>
      </c>
      <c r="D24" t="s">
        <v>53</v>
      </c>
      <c r="E24" t="str">
        <f>VLOOKUP(A24,_HGNC_REF!$A$2:$C$108,3,FALSE())</f>
        <v>HGNC:12558</v>
      </c>
      <c r="F24" t="s">
        <v>241</v>
      </c>
      <c r="G24" t="s">
        <v>601</v>
      </c>
      <c r="H24" s="10" t="s">
        <v>267</v>
      </c>
    </row>
    <row r="25" spans="1:8">
      <c r="A25" t="s">
        <v>54</v>
      </c>
      <c r="B25">
        <v>30633901</v>
      </c>
      <c r="C25" t="s">
        <v>52</v>
      </c>
      <c r="D25" t="s">
        <v>55</v>
      </c>
      <c r="E25" t="str">
        <f>VLOOKUP(A25,_HGNC_REF!$A$2:$C$108,3,FALSE())</f>
        <v>HGNC:29091</v>
      </c>
      <c r="F25" t="s">
        <v>241</v>
      </c>
      <c r="G25" t="s">
        <v>601</v>
      </c>
      <c r="H25" s="10" t="s">
        <v>267</v>
      </c>
    </row>
    <row r="26" spans="1:8">
      <c r="A26" t="s">
        <v>56</v>
      </c>
      <c r="B26">
        <v>30633901</v>
      </c>
      <c r="C26" t="s">
        <v>52</v>
      </c>
      <c r="D26" t="s">
        <v>57</v>
      </c>
      <c r="E26" t="str">
        <f>VLOOKUP(A26,_HGNC_REF!$A$2:$C$108,3,FALSE())</f>
        <v>HGNC:15574</v>
      </c>
      <c r="F26" t="s">
        <v>241</v>
      </c>
      <c r="G26" t="s">
        <v>601</v>
      </c>
      <c r="H26" s="10" t="s">
        <v>267</v>
      </c>
    </row>
    <row r="27" spans="1:8">
      <c r="A27" t="s">
        <v>58</v>
      </c>
      <c r="B27">
        <v>28283069</v>
      </c>
      <c r="C27" t="s">
        <v>15</v>
      </c>
      <c r="D27" t="s">
        <v>59</v>
      </c>
      <c r="E27" t="str">
        <f>VLOOKUP(A27,_HGNC_REF!$A$2:$C$108,3,FALSE())</f>
        <v>HGNC:11753</v>
      </c>
      <c r="F27" t="s">
        <v>241</v>
      </c>
      <c r="G27" t="s">
        <v>601</v>
      </c>
      <c r="H27" s="10" t="s">
        <v>267</v>
      </c>
    </row>
    <row r="28" spans="1:8">
      <c r="A28" t="s">
        <v>60</v>
      </c>
      <c r="B28">
        <v>28283069</v>
      </c>
      <c r="C28" t="s">
        <v>15</v>
      </c>
      <c r="D28" t="s">
        <v>61</v>
      </c>
      <c r="E28" t="str">
        <f>VLOOKUP(A28,_HGNC_REF!$A$2:$C$108,3,FALSE())</f>
        <v>HGNC:11752</v>
      </c>
      <c r="F28" t="s">
        <v>241</v>
      </c>
      <c r="G28" t="s">
        <v>601</v>
      </c>
      <c r="H28" s="10" t="s">
        <v>267</v>
      </c>
    </row>
    <row r="29" spans="1:8">
      <c r="A29" t="s">
        <v>62</v>
      </c>
      <c r="B29">
        <v>30633901</v>
      </c>
      <c r="C29" t="s">
        <v>52</v>
      </c>
      <c r="D29" t="s">
        <v>63</v>
      </c>
      <c r="E29" t="str">
        <f>VLOOKUP(A29,_HGNC_REF!$A$2:$C$108,3,FALSE())</f>
        <v>HGNC:1034</v>
      </c>
      <c r="F29" t="s">
        <v>241</v>
      </c>
      <c r="G29" t="s">
        <v>601</v>
      </c>
      <c r="H29" s="10" t="s">
        <v>267</v>
      </c>
    </row>
    <row r="30" spans="1:8">
      <c r="A30" t="s">
        <v>64</v>
      </c>
      <c r="B30">
        <v>30633901</v>
      </c>
      <c r="C30" t="s">
        <v>52</v>
      </c>
      <c r="D30" t="s">
        <v>65</v>
      </c>
      <c r="E30" t="str">
        <f>VLOOKUP(A30,_HGNC_REF!$A$2:$C$108,3,FALSE())</f>
        <v>HGNC:19962</v>
      </c>
      <c r="F30" t="s">
        <v>241</v>
      </c>
      <c r="G30" t="s">
        <v>601</v>
      </c>
      <c r="H30" s="10" t="s">
        <v>267</v>
      </c>
    </row>
    <row r="31" spans="1:8">
      <c r="A31" t="s">
        <v>66</v>
      </c>
      <c r="B31">
        <v>30633901</v>
      </c>
      <c r="C31" t="s">
        <v>52</v>
      </c>
      <c r="D31" t="s">
        <v>67</v>
      </c>
      <c r="E31" t="str">
        <f>VLOOKUP(A31,_HGNC_REF!$A$2:$C$108,3,FALSE())</f>
        <v>HGNC:8974</v>
      </c>
      <c r="F31" t="s">
        <v>241</v>
      </c>
      <c r="G31" t="s">
        <v>601</v>
      </c>
      <c r="H31" s="10" t="s">
        <v>267</v>
      </c>
    </row>
    <row r="32" spans="1:8">
      <c r="A32" t="s">
        <v>68</v>
      </c>
      <c r="B32">
        <v>30633901</v>
      </c>
      <c r="C32" t="s">
        <v>52</v>
      </c>
      <c r="D32" t="s">
        <v>69</v>
      </c>
      <c r="E32" t="str">
        <f>VLOOKUP(A32,_HGNC_REF!$A$2:$C$108,3,FALSE())</f>
        <v>HGNC:16935</v>
      </c>
      <c r="F32" t="s">
        <v>241</v>
      </c>
      <c r="G32" t="s">
        <v>601</v>
      </c>
      <c r="H32" s="10" t="s">
        <v>267</v>
      </c>
    </row>
    <row r="33" spans="1:8">
      <c r="A33" t="s">
        <v>70</v>
      </c>
      <c r="B33">
        <v>30633901</v>
      </c>
      <c r="C33" t="s">
        <v>52</v>
      </c>
      <c r="D33" t="s">
        <v>71</v>
      </c>
      <c r="E33" t="str">
        <f>VLOOKUP(A33,_HGNC_REF!$A$2:$C$108,3,FALSE())</f>
        <v>HGNC:589</v>
      </c>
      <c r="F33" t="s">
        <v>241</v>
      </c>
      <c r="G33" t="s">
        <v>601</v>
      </c>
      <c r="H33" s="10" t="s">
        <v>267</v>
      </c>
    </row>
    <row r="34" spans="1:8">
      <c r="A34" t="s">
        <v>72</v>
      </c>
      <c r="B34">
        <v>30633901</v>
      </c>
      <c r="C34" t="s">
        <v>52</v>
      </c>
      <c r="D34" t="s">
        <v>73</v>
      </c>
      <c r="E34" t="str">
        <f>VLOOKUP(A34,_HGNC_REF!$A$2:$C$108,3,FALSE())</f>
        <v>HGNC:588</v>
      </c>
      <c r="F34" t="s">
        <v>241</v>
      </c>
      <c r="G34" t="s">
        <v>601</v>
      </c>
      <c r="H34" s="10" t="s">
        <v>267</v>
      </c>
    </row>
    <row r="35" spans="1:8">
      <c r="A35" t="s">
        <v>74</v>
      </c>
      <c r="B35">
        <v>30633901</v>
      </c>
      <c r="C35" t="s">
        <v>52</v>
      </c>
      <c r="D35" t="s">
        <v>75</v>
      </c>
      <c r="E35" t="str">
        <f>VLOOKUP(A35,_HGNC_REF!$A$2:$C$108,3,FALSE())</f>
        <v>HGNC:21498</v>
      </c>
      <c r="F35" t="s">
        <v>241</v>
      </c>
      <c r="G35" t="s">
        <v>601</v>
      </c>
      <c r="H35" s="10" t="s">
        <v>267</v>
      </c>
    </row>
    <row r="36" spans="1:8">
      <c r="A36" t="s">
        <v>76</v>
      </c>
      <c r="B36">
        <v>30633901</v>
      </c>
      <c r="C36" t="s">
        <v>52</v>
      </c>
      <c r="D36" t="s">
        <v>77</v>
      </c>
      <c r="E36" t="str">
        <f>VLOOKUP(A36,_HGNC_REF!$A$2:$C$108,3,FALSE())</f>
        <v>HGNC:11280</v>
      </c>
      <c r="F36" t="s">
        <v>241</v>
      </c>
      <c r="G36" t="s">
        <v>601</v>
      </c>
      <c r="H36" s="10" t="s">
        <v>267</v>
      </c>
    </row>
    <row r="37" spans="1:8">
      <c r="A37" t="s">
        <v>78</v>
      </c>
      <c r="B37">
        <v>30633901</v>
      </c>
      <c r="C37" t="s">
        <v>52</v>
      </c>
      <c r="D37" t="s">
        <v>79</v>
      </c>
      <c r="E37" t="str">
        <f>VLOOKUP(A37,_HGNC_REF!$A$2:$C$108,3,FALSE())</f>
        <v>HGNC:9788</v>
      </c>
      <c r="F37" t="s">
        <v>241</v>
      </c>
      <c r="G37" t="s">
        <v>601</v>
      </c>
      <c r="H37" s="10" t="s">
        <v>267</v>
      </c>
    </row>
    <row r="38" spans="1:8">
      <c r="A38" t="s">
        <v>80</v>
      </c>
      <c r="B38">
        <v>30633901</v>
      </c>
      <c r="C38" t="s">
        <v>52</v>
      </c>
      <c r="D38" t="s">
        <v>81</v>
      </c>
      <c r="E38" t="str">
        <f>VLOOKUP(A38,_HGNC_REF!$A$2:$C$108,3,FALSE())</f>
        <v>HGNC:11432</v>
      </c>
      <c r="F38" t="s">
        <v>241</v>
      </c>
      <c r="G38" t="s">
        <v>601</v>
      </c>
      <c r="H38" s="10" t="s">
        <v>267</v>
      </c>
    </row>
    <row r="39" spans="1:8">
      <c r="A39" t="s">
        <v>82</v>
      </c>
      <c r="B39">
        <v>30633901</v>
      </c>
      <c r="C39" t="s">
        <v>52</v>
      </c>
      <c r="D39" t="s">
        <v>83</v>
      </c>
      <c r="E39" t="str">
        <f>VLOOKUP(A39,_HGNC_REF!$A$2:$C$108,3,FALSE())</f>
        <v>HGNC:25471</v>
      </c>
      <c r="F39" t="s">
        <v>241</v>
      </c>
      <c r="G39" t="s">
        <v>601</v>
      </c>
      <c r="H39" s="10" t="s">
        <v>267</v>
      </c>
    </row>
    <row r="40" spans="1:8">
      <c r="A40" t="s">
        <v>84</v>
      </c>
      <c r="B40">
        <v>30633901</v>
      </c>
      <c r="C40" t="s">
        <v>52</v>
      </c>
      <c r="D40" t="s">
        <v>85</v>
      </c>
      <c r="E40" t="str">
        <f>VLOOKUP(A40,_HGNC_REF!$A$2:$C$108,3,FALSE())</f>
        <v>HGNC:32225</v>
      </c>
      <c r="F40" t="s">
        <v>241</v>
      </c>
      <c r="G40" t="s">
        <v>601</v>
      </c>
      <c r="H40" s="10" t="s">
        <v>267</v>
      </c>
    </row>
    <row r="41" spans="1:8">
      <c r="A41" t="s">
        <v>86</v>
      </c>
      <c r="B41">
        <v>28283069</v>
      </c>
      <c r="C41" t="s">
        <v>15</v>
      </c>
      <c r="D41" t="s">
        <v>87</v>
      </c>
      <c r="E41" t="str">
        <f>VLOOKUP(A41,_HGNC_REF!$A$2:$C$108,3,FALSE())</f>
        <v>HGNC:9376</v>
      </c>
      <c r="F41" t="s">
        <v>241</v>
      </c>
      <c r="G41" t="s">
        <v>601</v>
      </c>
      <c r="H41" s="10" t="s">
        <v>267</v>
      </c>
    </row>
    <row r="42" spans="1:8">
      <c r="A42" t="s">
        <v>88</v>
      </c>
      <c r="B42">
        <v>37175493</v>
      </c>
      <c r="C42" t="s">
        <v>89</v>
      </c>
      <c r="D42" t="s">
        <v>90</v>
      </c>
      <c r="E42" t="str">
        <f>VLOOKUP(A42,_HGNC_REF!$A$2:$C$108,3,FALSE())</f>
        <v>HGNC:13853</v>
      </c>
      <c r="F42" t="s">
        <v>241</v>
      </c>
      <c r="G42" t="s">
        <v>601</v>
      </c>
      <c r="H42" s="10" t="s">
        <v>267</v>
      </c>
    </row>
    <row r="43" spans="1:8">
      <c r="A43" t="s">
        <v>91</v>
      </c>
      <c r="B43">
        <v>38766825</v>
      </c>
      <c r="C43" t="s">
        <v>92</v>
      </c>
      <c r="D43" t="s">
        <v>93</v>
      </c>
      <c r="E43" t="str">
        <f>VLOOKUP(A43,_HGNC_REF!$A$2:$C$108,3,FALSE())</f>
        <v>HGNC:13356</v>
      </c>
      <c r="F43" t="s">
        <v>241</v>
      </c>
      <c r="G43" t="s">
        <v>601</v>
      </c>
      <c r="H43" s="10" t="s">
        <v>267</v>
      </c>
    </row>
    <row r="44" spans="1:8">
      <c r="A44" t="s">
        <v>94</v>
      </c>
      <c r="B44">
        <v>22536247</v>
      </c>
      <c r="C44" t="s">
        <v>95</v>
      </c>
      <c r="D44" t="s">
        <v>96</v>
      </c>
      <c r="E44" t="str">
        <f>VLOOKUP(A44,_HGNC_REF!$A$2:$C$108,3,FALSE())</f>
        <v>HGNC:248</v>
      </c>
      <c r="F44" t="s">
        <v>242</v>
      </c>
      <c r="G44" t="s">
        <v>601</v>
      </c>
      <c r="H44" s="10" t="s">
        <v>267</v>
      </c>
    </row>
    <row r="45" spans="1:8">
      <c r="A45" t="s">
        <v>97</v>
      </c>
      <c r="B45">
        <v>33794741</v>
      </c>
      <c r="C45" t="s">
        <v>98</v>
      </c>
      <c r="D45" t="s">
        <v>99</v>
      </c>
      <c r="E45" t="str">
        <f>VLOOKUP(A45,_HGNC_REF!$A$2:$C$108,3,FALSE())</f>
        <v>HGNC:16893</v>
      </c>
      <c r="F45" t="s">
        <v>242</v>
      </c>
      <c r="G45" t="s">
        <v>601</v>
      </c>
      <c r="H45" s="10" t="s">
        <v>267</v>
      </c>
    </row>
    <row r="46" spans="1:8">
      <c r="A46" t="s">
        <v>100</v>
      </c>
      <c r="B46">
        <v>33794741</v>
      </c>
      <c r="C46" t="s">
        <v>98</v>
      </c>
      <c r="D46" t="s">
        <v>101</v>
      </c>
      <c r="E46" t="str">
        <f>VLOOKUP(A46,_HGNC_REF!$A$2:$C$108,3,FALSE())</f>
        <v>HGNC:33196</v>
      </c>
      <c r="F46" t="s">
        <v>242</v>
      </c>
      <c r="G46" t="s">
        <v>601</v>
      </c>
      <c r="H46" s="10" t="s">
        <v>267</v>
      </c>
    </row>
    <row r="47" spans="1:8">
      <c r="A47" t="s">
        <v>102</v>
      </c>
      <c r="B47">
        <v>30523332</v>
      </c>
      <c r="C47" t="s">
        <v>103</v>
      </c>
      <c r="D47" t="s">
        <v>104</v>
      </c>
      <c r="E47" t="str">
        <f>VLOOKUP(A47,_HGNC_REF!$A$2:$C$108,3,FALSE())</f>
        <v>HGNC:1976</v>
      </c>
      <c r="F47" t="s">
        <v>242</v>
      </c>
      <c r="G47" t="s">
        <v>601</v>
      </c>
      <c r="H47" s="10" t="s">
        <v>267</v>
      </c>
    </row>
    <row r="48" spans="1:8">
      <c r="A48" t="s">
        <v>105</v>
      </c>
      <c r="B48">
        <v>30523332</v>
      </c>
      <c r="C48" t="s">
        <v>103</v>
      </c>
      <c r="D48" t="s">
        <v>106</v>
      </c>
      <c r="E48" t="str">
        <f>VLOOKUP(A48,_HGNC_REF!$A$2:$C$108,3,FALSE())</f>
        <v>HGNC:24229</v>
      </c>
      <c r="F48" t="s">
        <v>242</v>
      </c>
      <c r="G48" t="s">
        <v>601</v>
      </c>
      <c r="H48" s="10" t="s">
        <v>267</v>
      </c>
    </row>
    <row r="49" spans="1:8">
      <c r="A49" t="s">
        <v>107</v>
      </c>
      <c r="B49">
        <v>30523332</v>
      </c>
      <c r="C49" t="s">
        <v>103</v>
      </c>
      <c r="D49" t="s">
        <v>108</v>
      </c>
      <c r="E49" t="str">
        <f>VLOOKUP(A49,_HGNC_REF!$A$2:$C$108,3,FALSE())</f>
        <v>HGNC:16135</v>
      </c>
      <c r="F49" t="s">
        <v>242</v>
      </c>
      <c r="G49" t="s">
        <v>601</v>
      </c>
      <c r="H49" s="10" t="s">
        <v>267</v>
      </c>
    </row>
    <row r="50" spans="1:8">
      <c r="A50" t="s">
        <v>109</v>
      </c>
      <c r="B50">
        <v>30523332</v>
      </c>
      <c r="C50" t="s">
        <v>103</v>
      </c>
      <c r="D50" t="s">
        <v>110</v>
      </c>
      <c r="E50" t="str">
        <f>VLOOKUP(A50,_HGNC_REF!$A$2:$C$108,3,FALSE())</f>
        <v>HGNC:2843</v>
      </c>
      <c r="F50" t="s">
        <v>242</v>
      </c>
      <c r="G50" t="s">
        <v>601</v>
      </c>
      <c r="H50" s="10" t="s">
        <v>267</v>
      </c>
    </row>
    <row r="51" spans="1:8">
      <c r="A51" t="s">
        <v>111</v>
      </c>
      <c r="B51">
        <v>30523332</v>
      </c>
      <c r="C51" t="s">
        <v>103</v>
      </c>
      <c r="D51" t="s">
        <v>112</v>
      </c>
      <c r="E51" t="str">
        <f>VLOOKUP(A51,_HGNC_REF!$A$2:$C$108,3,FALSE())</f>
        <v>HGNC:16940</v>
      </c>
      <c r="F51" t="s">
        <v>242</v>
      </c>
      <c r="G51" t="s">
        <v>601</v>
      </c>
      <c r="H51" s="10" t="s">
        <v>267</v>
      </c>
    </row>
    <row r="52" spans="1:8">
      <c r="A52" t="s">
        <v>113</v>
      </c>
      <c r="B52">
        <v>33794741</v>
      </c>
      <c r="C52" t="s">
        <v>98</v>
      </c>
      <c r="D52" t="s">
        <v>114</v>
      </c>
      <c r="E52" t="str">
        <f>VLOOKUP(A52,_HGNC_REF!$A$2:$C$108,3,FALSE())</f>
        <v>HGNC:30802</v>
      </c>
      <c r="F52" t="s">
        <v>242</v>
      </c>
      <c r="G52" t="s">
        <v>601</v>
      </c>
      <c r="H52" s="10" t="s">
        <v>267</v>
      </c>
    </row>
    <row r="53" spans="1:8">
      <c r="A53" t="s">
        <v>115</v>
      </c>
      <c r="B53">
        <v>33794741</v>
      </c>
      <c r="C53" t="s">
        <v>98</v>
      </c>
      <c r="D53" t="s">
        <v>116</v>
      </c>
      <c r="E53" t="str">
        <f>VLOOKUP(A53,_HGNC_REF!$A$2:$C$108,3,FALSE())</f>
        <v>HGNC:6617</v>
      </c>
      <c r="F53" t="s">
        <v>242</v>
      </c>
      <c r="G53" t="s">
        <v>601</v>
      </c>
      <c r="H53" s="10" t="s">
        <v>267</v>
      </c>
    </row>
    <row r="54" spans="1:8">
      <c r="A54" t="s">
        <v>117</v>
      </c>
      <c r="B54">
        <v>30523332</v>
      </c>
      <c r="C54" t="s">
        <v>103</v>
      </c>
      <c r="D54" t="s">
        <v>118</v>
      </c>
      <c r="E54" t="str">
        <f>VLOOKUP(A54,_HGNC_REF!$A$2:$C$108,3,FALSE())</f>
        <v>HGNC:6621</v>
      </c>
      <c r="F54" t="s">
        <v>242</v>
      </c>
      <c r="G54" t="s">
        <v>601</v>
      </c>
      <c r="H54" s="10" t="s">
        <v>267</v>
      </c>
    </row>
    <row r="55" spans="1:8">
      <c r="A55" t="s">
        <v>119</v>
      </c>
      <c r="B55">
        <v>33794741</v>
      </c>
      <c r="C55" t="s">
        <v>98</v>
      </c>
      <c r="D55" t="s">
        <v>120</v>
      </c>
      <c r="E55" t="str">
        <f>VLOOKUP(A55,_HGNC_REF!$A$2:$C$108,3,FALSE())</f>
        <v>HGNC:13352</v>
      </c>
      <c r="F55" t="s">
        <v>242</v>
      </c>
      <c r="G55" t="s">
        <v>601</v>
      </c>
      <c r="H55" s="10" t="s">
        <v>267</v>
      </c>
    </row>
    <row r="56" spans="1:8">
      <c r="A56" t="s">
        <v>121</v>
      </c>
      <c r="B56">
        <v>30633901</v>
      </c>
      <c r="C56" t="s">
        <v>52</v>
      </c>
      <c r="D56" t="s">
        <v>122</v>
      </c>
      <c r="E56" t="str">
        <f>VLOOKUP(A56,_HGNC_REF!$A$2:$C$108,3,FALSE())</f>
        <v>HGNC:4068</v>
      </c>
      <c r="F56" t="s">
        <v>242</v>
      </c>
      <c r="G56" t="s">
        <v>601</v>
      </c>
      <c r="H56" s="10" t="s">
        <v>267</v>
      </c>
    </row>
    <row r="57" spans="1:8">
      <c r="A57" t="s">
        <v>123</v>
      </c>
      <c r="B57">
        <v>33794741</v>
      </c>
      <c r="C57" t="s">
        <v>98</v>
      </c>
      <c r="D57" t="s">
        <v>124</v>
      </c>
      <c r="E57" t="str">
        <f>VLOOKUP(A57,_HGNC_REF!$A$2:$C$108,3,FALSE())</f>
        <v>HGNC:6501</v>
      </c>
      <c r="F57" t="s">
        <v>242</v>
      </c>
      <c r="G57" t="s">
        <v>601</v>
      </c>
      <c r="H57" s="10" t="s">
        <v>267</v>
      </c>
    </row>
    <row r="58" spans="1:8">
      <c r="A58" t="s">
        <v>78</v>
      </c>
      <c r="B58">
        <v>33794741</v>
      </c>
      <c r="C58" t="s">
        <v>98</v>
      </c>
      <c r="D58" t="s">
        <v>125</v>
      </c>
      <c r="E58" t="str">
        <f>VLOOKUP(A58,_HGNC_REF!$A$2:$C$108,3,FALSE())</f>
        <v>HGNC:9788</v>
      </c>
      <c r="F58" t="s">
        <v>242</v>
      </c>
      <c r="G58" t="s">
        <v>601</v>
      </c>
      <c r="H58" s="10" t="s">
        <v>267</v>
      </c>
    </row>
    <row r="59" spans="1:8">
      <c r="A59" t="s">
        <v>126</v>
      </c>
      <c r="B59">
        <v>35991116</v>
      </c>
      <c r="C59" t="s">
        <v>127</v>
      </c>
      <c r="D59" t="s">
        <v>128</v>
      </c>
      <c r="E59" t="str">
        <f>VLOOKUP(A59,_HGNC_REF!$A$2:$C$108,3,FALSE())</f>
        <v>HGNC:1663</v>
      </c>
      <c r="F59" t="s">
        <v>242</v>
      </c>
      <c r="G59" t="s">
        <v>601</v>
      </c>
      <c r="H59" s="10" t="s">
        <v>267</v>
      </c>
    </row>
    <row r="60" spans="1:8">
      <c r="A60" t="s">
        <v>129</v>
      </c>
      <c r="B60">
        <v>30523332</v>
      </c>
      <c r="C60" t="s">
        <v>103</v>
      </c>
      <c r="D60" t="s">
        <v>130</v>
      </c>
      <c r="E60" t="str">
        <f>VLOOKUP(A60,_HGNC_REF!$A$2:$C$108,3,FALSE())</f>
        <v>HGNC:3559</v>
      </c>
      <c r="F60" t="s">
        <v>242</v>
      </c>
      <c r="G60" t="s">
        <v>601</v>
      </c>
      <c r="H60" s="10" t="s">
        <v>267</v>
      </c>
    </row>
    <row r="61" spans="1:8">
      <c r="A61" t="s">
        <v>131</v>
      </c>
      <c r="B61">
        <v>33794741</v>
      </c>
      <c r="C61" t="s">
        <v>98</v>
      </c>
      <c r="D61" t="s">
        <v>132</v>
      </c>
      <c r="E61" t="str">
        <f>VLOOKUP(A61,_HGNC_REF!$A$2:$C$108,3,FALSE())</f>
        <v>HGNC:2328</v>
      </c>
      <c r="F61" t="s">
        <v>242</v>
      </c>
      <c r="G61" t="s">
        <v>601</v>
      </c>
      <c r="H61" s="10" t="s">
        <v>267</v>
      </c>
    </row>
    <row r="62" spans="1:8">
      <c r="A62" t="s">
        <v>133</v>
      </c>
      <c r="B62">
        <v>33794741</v>
      </c>
      <c r="C62" t="s">
        <v>98</v>
      </c>
      <c r="D62" t="s">
        <v>134</v>
      </c>
      <c r="E62" t="str">
        <f>VLOOKUP(A62,_HGNC_REF!$A$2:$C$108,3,FALSE())</f>
        <v>HGNC:9232</v>
      </c>
      <c r="F62" t="s">
        <v>242</v>
      </c>
      <c r="G62" t="s">
        <v>601</v>
      </c>
      <c r="H62" s="10" t="s">
        <v>267</v>
      </c>
    </row>
    <row r="63" spans="1:8">
      <c r="A63" t="s">
        <v>135</v>
      </c>
      <c r="B63">
        <v>30391710</v>
      </c>
      <c r="C63" t="s">
        <v>136</v>
      </c>
      <c r="D63" t="s">
        <v>137</v>
      </c>
      <c r="E63" t="str">
        <f>VLOOKUP(A63,_HGNC_REF!$A$2:$C$108,3,FALSE())</f>
        <v>HGNC:28900</v>
      </c>
      <c r="F63" t="s">
        <v>242</v>
      </c>
      <c r="G63" t="s">
        <v>601</v>
      </c>
      <c r="H63" s="10" t="s">
        <v>267</v>
      </c>
    </row>
    <row r="64" spans="1:8">
      <c r="A64" t="s">
        <v>138</v>
      </c>
      <c r="B64">
        <v>22385114</v>
      </c>
      <c r="C64" t="s">
        <v>139</v>
      </c>
      <c r="D64" t="s">
        <v>140</v>
      </c>
      <c r="E64" t="str">
        <f>VLOOKUP(A64,_HGNC_REF!$A$2:$C$108,3,FALSE())</f>
        <v>HGNC:24865</v>
      </c>
      <c r="F64" t="s">
        <v>242</v>
      </c>
      <c r="G64" t="s">
        <v>601</v>
      </c>
      <c r="H64" s="10" t="s">
        <v>267</v>
      </c>
    </row>
    <row r="65" spans="1:8">
      <c r="A65" t="s">
        <v>141</v>
      </c>
      <c r="B65">
        <v>30523332</v>
      </c>
      <c r="C65" t="s">
        <v>103</v>
      </c>
      <c r="D65" t="s">
        <v>142</v>
      </c>
      <c r="E65" t="str">
        <f>VLOOKUP(A65,_HGNC_REF!$A$2:$C$108,3,FALSE())</f>
        <v>HGNC:29393</v>
      </c>
      <c r="F65" t="s">
        <v>242</v>
      </c>
      <c r="G65" t="s">
        <v>601</v>
      </c>
      <c r="H65" s="10" t="s">
        <v>267</v>
      </c>
    </row>
    <row r="66" spans="1:8">
      <c r="A66" t="s">
        <v>143</v>
      </c>
      <c r="B66">
        <v>36829083</v>
      </c>
      <c r="C66" t="s">
        <v>144</v>
      </c>
      <c r="D66" t="s">
        <v>145</v>
      </c>
      <c r="E66" t="str">
        <f>VLOOKUP(A66,_HGNC_REF!$A$2:$C$108,3,FALSE())</f>
        <v>HGNC:11255</v>
      </c>
      <c r="F66" t="s">
        <v>243</v>
      </c>
      <c r="G66" t="s">
        <v>601</v>
      </c>
      <c r="H66" s="10" t="s">
        <v>267</v>
      </c>
    </row>
    <row r="67" spans="1:8">
      <c r="A67" t="s">
        <v>146</v>
      </c>
      <c r="B67">
        <v>36829083</v>
      </c>
      <c r="C67" t="s">
        <v>144</v>
      </c>
      <c r="D67" t="s">
        <v>147</v>
      </c>
      <c r="E67" t="str">
        <f>VLOOKUP(A67,_HGNC_REF!$A$2:$C$108,3,FALSE())</f>
        <v>HGNC:5341</v>
      </c>
      <c r="F67" t="s">
        <v>243</v>
      </c>
      <c r="G67" t="s">
        <v>601</v>
      </c>
      <c r="H67" s="10" t="s">
        <v>267</v>
      </c>
    </row>
    <row r="68" spans="1:8">
      <c r="A68" t="s">
        <v>148</v>
      </c>
      <c r="B68">
        <v>36829083</v>
      </c>
      <c r="C68" t="s">
        <v>144</v>
      </c>
      <c r="D68" t="s">
        <v>149</v>
      </c>
      <c r="E68" t="str">
        <f>VLOOKUP(A68,_HGNC_REF!$A$2:$C$108,3,FALSE())</f>
        <v>HGNC:10472</v>
      </c>
      <c r="F68" t="s">
        <v>243</v>
      </c>
      <c r="G68" t="s">
        <v>601</v>
      </c>
      <c r="H68" s="10" t="s">
        <v>267</v>
      </c>
    </row>
    <row r="69" spans="1:8">
      <c r="A69" t="s">
        <v>150</v>
      </c>
      <c r="B69">
        <v>36829083</v>
      </c>
      <c r="C69" t="s">
        <v>144</v>
      </c>
      <c r="D69" t="s">
        <v>151</v>
      </c>
      <c r="E69" t="str">
        <f>VLOOKUP(A69,_HGNC_REF!$A$2:$C$108,3,FALSE())</f>
        <v>HGNC:438</v>
      </c>
      <c r="F69" t="s">
        <v>243</v>
      </c>
      <c r="G69" t="s">
        <v>601</v>
      </c>
      <c r="H69" s="10" t="s">
        <v>267</v>
      </c>
    </row>
    <row r="70" spans="1:8">
      <c r="A70" t="s">
        <v>152</v>
      </c>
      <c r="B70">
        <v>36829083</v>
      </c>
      <c r="C70" t="s">
        <v>144</v>
      </c>
      <c r="D70" t="s">
        <v>153</v>
      </c>
      <c r="E70" t="str">
        <f>VLOOKUP(A70,_HGNC_REF!$A$2:$C$108,3,FALSE())</f>
        <v>HGNC:1069</v>
      </c>
      <c r="F70" t="s">
        <v>243</v>
      </c>
      <c r="G70" t="s">
        <v>601</v>
      </c>
      <c r="H70" s="10" t="s">
        <v>267</v>
      </c>
    </row>
    <row r="71" spans="1:8">
      <c r="A71" t="s">
        <v>154</v>
      </c>
      <c r="B71">
        <v>36829083</v>
      </c>
      <c r="C71" t="s">
        <v>144</v>
      </c>
      <c r="D71" t="s">
        <v>155</v>
      </c>
      <c r="E71" t="str">
        <f>VLOOKUP(A71,_HGNC_REF!$A$2:$C$108,3,FALSE())</f>
        <v>HGNC:1043</v>
      </c>
      <c r="F71" t="s">
        <v>243</v>
      </c>
      <c r="G71" t="s">
        <v>601</v>
      </c>
      <c r="H71" s="10" t="s">
        <v>267</v>
      </c>
    </row>
    <row r="72" spans="1:8">
      <c r="A72" t="s">
        <v>156</v>
      </c>
      <c r="B72">
        <v>36829083</v>
      </c>
      <c r="C72" t="s">
        <v>144</v>
      </c>
      <c r="D72" t="s">
        <v>157</v>
      </c>
      <c r="E72" t="str">
        <f>VLOOKUP(A72,_HGNC_REF!$A$2:$C$108,3,FALSE())</f>
        <v>HGNC:2197</v>
      </c>
      <c r="F72" t="s">
        <v>243</v>
      </c>
      <c r="G72" t="s">
        <v>601</v>
      </c>
      <c r="H72" s="10" t="s">
        <v>267</v>
      </c>
    </row>
    <row r="73" spans="1:8">
      <c r="A73" t="s">
        <v>158</v>
      </c>
      <c r="B73">
        <v>36829083</v>
      </c>
      <c r="C73" t="s">
        <v>144</v>
      </c>
      <c r="D73" t="s">
        <v>159</v>
      </c>
      <c r="E73" t="str">
        <f>VLOOKUP(A73,_HGNC_REF!$A$2:$C$108,3,FALSE())</f>
        <v>HGNC:2198</v>
      </c>
      <c r="F73" t="s">
        <v>243</v>
      </c>
      <c r="G73" t="s">
        <v>601</v>
      </c>
      <c r="H73" s="10" t="s">
        <v>267</v>
      </c>
    </row>
    <row r="74" spans="1:8">
      <c r="A74" t="s">
        <v>160</v>
      </c>
      <c r="B74">
        <v>36829083</v>
      </c>
      <c r="C74" t="s">
        <v>144</v>
      </c>
      <c r="D74" t="s">
        <v>161</v>
      </c>
      <c r="E74" t="str">
        <f>VLOOKUP(A74,_HGNC_REF!$A$2:$C$108,3,FALSE())</f>
        <v>HGNC:17321</v>
      </c>
      <c r="F74" t="s">
        <v>243</v>
      </c>
      <c r="G74" t="s">
        <v>601</v>
      </c>
      <c r="H74" s="10" t="s">
        <v>267</v>
      </c>
    </row>
    <row r="75" spans="1:8">
      <c r="A75" t="s">
        <v>162</v>
      </c>
      <c r="B75">
        <v>36829083</v>
      </c>
      <c r="C75" t="s">
        <v>144</v>
      </c>
      <c r="D75" t="s">
        <v>163</v>
      </c>
      <c r="E75" t="str">
        <f>VLOOKUP(A75,_HGNC_REF!$A$2:$C$108,3,FALSE())</f>
        <v>HGNC:2918</v>
      </c>
      <c r="F75" t="s">
        <v>243</v>
      </c>
      <c r="G75" t="s">
        <v>601</v>
      </c>
      <c r="H75" s="10" t="s">
        <v>267</v>
      </c>
    </row>
    <row r="76" spans="1:8">
      <c r="A76" t="s">
        <v>164</v>
      </c>
      <c r="B76">
        <v>36829083</v>
      </c>
      <c r="C76" t="s">
        <v>144</v>
      </c>
      <c r="D76" t="s">
        <v>165</v>
      </c>
      <c r="E76" t="str">
        <f>VLOOKUP(A76,_HGNC_REF!$A$2:$C$108,3,FALSE())</f>
        <v>HGNC:7392</v>
      </c>
      <c r="F76" t="s">
        <v>243</v>
      </c>
      <c r="G76" t="s">
        <v>601</v>
      </c>
      <c r="H76" s="10" t="s">
        <v>267</v>
      </c>
    </row>
    <row r="77" spans="1:8">
      <c r="A77" t="s">
        <v>166</v>
      </c>
      <c r="B77">
        <v>36829083</v>
      </c>
      <c r="C77" t="s">
        <v>144</v>
      </c>
      <c r="D77" t="s">
        <v>167</v>
      </c>
      <c r="E77" t="str">
        <f>VLOOKUP(A77,_HGNC_REF!$A$2:$C$108,3,FALSE())</f>
        <v>HGNC:786</v>
      </c>
      <c r="F77" t="s">
        <v>243</v>
      </c>
      <c r="G77" t="s">
        <v>601</v>
      </c>
      <c r="H77" s="10" t="s">
        <v>267</v>
      </c>
    </row>
    <row r="78" spans="1:8">
      <c r="A78" t="s">
        <v>168</v>
      </c>
      <c r="B78">
        <v>36620697</v>
      </c>
      <c r="C78" t="s">
        <v>169</v>
      </c>
      <c r="D78" t="s">
        <v>170</v>
      </c>
      <c r="E78" t="str">
        <f>VLOOKUP(A78,_HGNC_REF!$A$2:$C$108,3,FALSE())</f>
        <v>HGNC:7060</v>
      </c>
      <c r="F78" t="s">
        <v>243</v>
      </c>
      <c r="G78" t="s">
        <v>601</v>
      </c>
      <c r="H78" s="10" t="s">
        <v>267</v>
      </c>
    </row>
    <row r="79" spans="1:8">
      <c r="A79" t="s">
        <v>171</v>
      </c>
      <c r="B79">
        <v>36620697</v>
      </c>
      <c r="C79" t="s">
        <v>169</v>
      </c>
      <c r="D79" t="s">
        <v>172</v>
      </c>
      <c r="E79" t="str">
        <f>VLOOKUP(A79,_HGNC_REF!$A$2:$C$108,3,FALSE())</f>
        <v>HGNC:3356</v>
      </c>
      <c r="F79" t="s">
        <v>243</v>
      </c>
      <c r="G79" t="s">
        <v>601</v>
      </c>
      <c r="H79" s="10" t="s">
        <v>267</v>
      </c>
    </row>
    <row r="80" spans="1:8">
      <c r="A80" t="s">
        <v>173</v>
      </c>
      <c r="B80">
        <v>36620697</v>
      </c>
      <c r="C80" t="s">
        <v>169</v>
      </c>
      <c r="D80" t="s">
        <v>174</v>
      </c>
      <c r="E80" t="str">
        <f>VLOOKUP(A80,_HGNC_REF!$A$2:$C$108,3,FALSE())</f>
        <v>HGNC:15492</v>
      </c>
      <c r="F80" t="s">
        <v>243</v>
      </c>
      <c r="G80" t="s">
        <v>601</v>
      </c>
      <c r="H80" s="10" t="s">
        <v>267</v>
      </c>
    </row>
    <row r="81" spans="1:8">
      <c r="A81" t="s">
        <v>175</v>
      </c>
      <c r="B81">
        <v>36620697</v>
      </c>
      <c r="C81" t="s">
        <v>169</v>
      </c>
      <c r="D81" t="s">
        <v>176</v>
      </c>
      <c r="E81" t="str">
        <f>VLOOKUP(A81,_HGNC_REF!$A$2:$C$108,3,FALSE())</f>
        <v>HGNC:16815</v>
      </c>
      <c r="F81" t="s">
        <v>243</v>
      </c>
      <c r="G81" t="s">
        <v>601</v>
      </c>
      <c r="H81" s="10" t="s">
        <v>267</v>
      </c>
    </row>
    <row r="82" spans="1:8">
      <c r="A82" t="s">
        <v>177</v>
      </c>
      <c r="B82">
        <v>36620697</v>
      </c>
      <c r="C82" t="s">
        <v>169</v>
      </c>
      <c r="D82" t="s">
        <v>178</v>
      </c>
      <c r="E82" t="str">
        <f>VLOOKUP(A82,_HGNC_REF!$A$2:$C$108,3,FALSE())</f>
        <v>HGNC:10946</v>
      </c>
      <c r="F82" t="s">
        <v>243</v>
      </c>
      <c r="G82" t="s">
        <v>601</v>
      </c>
      <c r="H82" s="10" t="s">
        <v>267</v>
      </c>
    </row>
    <row r="83" spans="1:8">
      <c r="A83" t="s">
        <v>179</v>
      </c>
      <c r="B83">
        <v>36620697</v>
      </c>
      <c r="C83" t="s">
        <v>169</v>
      </c>
      <c r="D83" t="s">
        <v>180</v>
      </c>
      <c r="E83" t="str">
        <f>VLOOKUP(A83,_HGNC_REF!$A$2:$C$108,3,FALSE())</f>
        <v>HGNC:10947</v>
      </c>
      <c r="F83" t="s">
        <v>243</v>
      </c>
      <c r="G83" t="s">
        <v>601</v>
      </c>
      <c r="H83" s="10" t="s">
        <v>267</v>
      </c>
    </row>
    <row r="84" spans="1:8">
      <c r="A84" t="s">
        <v>181</v>
      </c>
      <c r="B84">
        <v>36829083</v>
      </c>
      <c r="C84" t="s">
        <v>144</v>
      </c>
      <c r="D84" t="s">
        <v>182</v>
      </c>
      <c r="E84" t="str">
        <f>VLOOKUP(A84,_HGNC_REF!$A$2:$C$108,3,FALSE())</f>
        <v>HGNC:1071</v>
      </c>
      <c r="F84" t="s">
        <v>243</v>
      </c>
      <c r="G84" t="s">
        <v>601</v>
      </c>
      <c r="H84" s="10" t="s">
        <v>267</v>
      </c>
    </row>
    <row r="85" spans="1:8">
      <c r="A85" t="s">
        <v>183</v>
      </c>
      <c r="B85">
        <v>36829083</v>
      </c>
      <c r="C85" t="s">
        <v>144</v>
      </c>
      <c r="D85" t="s">
        <v>184</v>
      </c>
      <c r="E85" t="str">
        <f>VLOOKUP(A85,_HGNC_REF!$A$2:$C$108,3,FALSE())</f>
        <v>HGNC:15983</v>
      </c>
      <c r="F85" t="s">
        <v>243</v>
      </c>
      <c r="G85" t="s">
        <v>601</v>
      </c>
      <c r="H85" s="10" t="s">
        <v>267</v>
      </c>
    </row>
    <row r="86" spans="1:8">
      <c r="A86" t="s">
        <v>185</v>
      </c>
      <c r="B86">
        <v>36829083</v>
      </c>
      <c r="C86" t="s">
        <v>144</v>
      </c>
      <c r="D86" t="s">
        <v>186</v>
      </c>
      <c r="E86" t="str">
        <f>VLOOKUP(A86,_HGNC_REF!$A$2:$C$108,3,FALSE())</f>
        <v>HGNC:12784</v>
      </c>
      <c r="F86" t="s">
        <v>243</v>
      </c>
      <c r="G86" t="s">
        <v>601</v>
      </c>
      <c r="H86" s="10" t="s">
        <v>267</v>
      </c>
    </row>
    <row r="87" spans="1:8">
      <c r="A87" t="s">
        <v>187</v>
      </c>
      <c r="B87">
        <v>36829083</v>
      </c>
      <c r="C87" t="s">
        <v>144</v>
      </c>
      <c r="D87" t="s">
        <v>188</v>
      </c>
      <c r="E87" t="str">
        <f>VLOOKUP(A87,_HGNC_REF!$A$2:$C$108,3,FALSE())</f>
        <v>HGNC:11766</v>
      </c>
      <c r="F87" t="s">
        <v>243</v>
      </c>
      <c r="G87" t="s">
        <v>601</v>
      </c>
      <c r="H87" s="10" t="s">
        <v>267</v>
      </c>
    </row>
    <row r="88" spans="1:8">
      <c r="A88" t="s">
        <v>189</v>
      </c>
      <c r="B88">
        <v>36829083</v>
      </c>
      <c r="C88" t="s">
        <v>144</v>
      </c>
      <c r="D88" t="s">
        <v>190</v>
      </c>
      <c r="E88" t="str">
        <f>VLOOKUP(A88,_HGNC_REF!$A$2:$C$108,3,FALSE())</f>
        <v>HGNC:6697</v>
      </c>
      <c r="F88" t="s">
        <v>243</v>
      </c>
      <c r="G88" t="s">
        <v>601</v>
      </c>
      <c r="H88" s="10" t="s">
        <v>267</v>
      </c>
    </row>
    <row r="89" spans="1:8">
      <c r="A89" t="s">
        <v>191</v>
      </c>
      <c r="B89">
        <v>36829083</v>
      </c>
      <c r="C89" t="s">
        <v>144</v>
      </c>
      <c r="D89" t="s">
        <v>192</v>
      </c>
      <c r="E89" t="str">
        <f>VLOOKUP(A89,_HGNC_REF!$A$2:$C$108,3,FALSE())</f>
        <v>HGNC:6698</v>
      </c>
      <c r="F89" t="s">
        <v>243</v>
      </c>
      <c r="G89" t="s">
        <v>601</v>
      </c>
      <c r="H89" s="10" t="s">
        <v>267</v>
      </c>
    </row>
    <row r="90" spans="1:8">
      <c r="A90" t="s">
        <v>193</v>
      </c>
      <c r="B90">
        <v>36829083</v>
      </c>
      <c r="C90" t="s">
        <v>144</v>
      </c>
      <c r="D90" t="s">
        <v>194</v>
      </c>
      <c r="E90" t="str">
        <f>VLOOKUP(A90,_HGNC_REF!$A$2:$C$108,3,FALSE())</f>
        <v>HGNC:7881</v>
      </c>
      <c r="F90" t="s">
        <v>243</v>
      </c>
      <c r="G90" t="s">
        <v>601</v>
      </c>
      <c r="H90" s="10" t="s">
        <v>267</v>
      </c>
    </row>
    <row r="91" spans="1:8">
      <c r="A91" t="s">
        <v>195</v>
      </c>
      <c r="B91">
        <v>36829083</v>
      </c>
      <c r="C91" t="s">
        <v>144</v>
      </c>
      <c r="D91" t="s">
        <v>196</v>
      </c>
      <c r="E91" t="str">
        <f>VLOOKUP(A91,_HGNC_REF!$A$2:$C$108,3,FALSE())</f>
        <v>HGNC:6348</v>
      </c>
      <c r="F91" t="s">
        <v>243</v>
      </c>
      <c r="G91" t="s">
        <v>601</v>
      </c>
      <c r="H91" s="10" t="s">
        <v>267</v>
      </c>
    </row>
    <row r="92" spans="1:8">
      <c r="A92" t="s">
        <v>197</v>
      </c>
      <c r="B92">
        <v>36829083</v>
      </c>
      <c r="C92" t="s">
        <v>144</v>
      </c>
      <c r="D92" t="s">
        <v>198</v>
      </c>
      <c r="E92" t="str">
        <f>VLOOKUP(A92,_HGNC_REF!$A$2:$C$108,3,FALSE())</f>
        <v>HGNC:16953</v>
      </c>
      <c r="F92" t="s">
        <v>243</v>
      </c>
      <c r="G92" t="s">
        <v>601</v>
      </c>
      <c r="H92" s="10" t="s">
        <v>267</v>
      </c>
    </row>
    <row r="93" spans="1:8">
      <c r="A93" t="s">
        <v>199</v>
      </c>
      <c r="B93">
        <v>22095980</v>
      </c>
      <c r="C93" t="s">
        <v>200</v>
      </c>
      <c r="D93" t="s">
        <v>201</v>
      </c>
      <c r="E93" t="str">
        <f>VLOOKUP(A93,_HGNC_REF!$A$2:$C$108,3,FALSE())</f>
        <v>HGNC:10498</v>
      </c>
      <c r="F93" t="s">
        <v>244</v>
      </c>
      <c r="G93" t="s">
        <v>601</v>
      </c>
      <c r="H93" s="10" t="s">
        <v>267</v>
      </c>
    </row>
    <row r="94" spans="1:8">
      <c r="A94" t="s">
        <v>202</v>
      </c>
      <c r="B94">
        <v>22095980</v>
      </c>
      <c r="C94" t="s">
        <v>200</v>
      </c>
      <c r="D94" t="s">
        <v>203</v>
      </c>
      <c r="E94" t="str">
        <f>VLOOKUP(A94,_HGNC_REF!$A$2:$C$108,3,FALSE())</f>
        <v>HGNC:10499</v>
      </c>
      <c r="F94" t="s">
        <v>244</v>
      </c>
      <c r="G94" t="s">
        <v>601</v>
      </c>
      <c r="H94" s="10" t="s">
        <v>267</v>
      </c>
    </row>
    <row r="95" spans="1:8">
      <c r="A95" t="s">
        <v>204</v>
      </c>
      <c r="B95">
        <v>27547766</v>
      </c>
      <c r="C95" t="s">
        <v>205</v>
      </c>
      <c r="D95" t="s">
        <v>206</v>
      </c>
      <c r="E95" t="str">
        <f>VLOOKUP(A95,_HGNC_REF!$A$2:$C$108,3,FALSE())</f>
        <v>HGNC:320</v>
      </c>
      <c r="F95" t="s">
        <v>244</v>
      </c>
      <c r="G95" t="s">
        <v>601</v>
      </c>
      <c r="H95" s="10" t="s">
        <v>267</v>
      </c>
    </row>
    <row r="96" spans="1:8">
      <c r="A96" t="s">
        <v>207</v>
      </c>
      <c r="B96">
        <v>32958760</v>
      </c>
      <c r="C96" t="s">
        <v>208</v>
      </c>
      <c r="D96" t="s">
        <v>209</v>
      </c>
      <c r="E96" t="str">
        <f>VLOOKUP(A96,_HGNC_REF!$A$2:$C$108,3,FALSE())</f>
        <v>HGNC:11850</v>
      </c>
      <c r="F96" t="s">
        <v>244</v>
      </c>
      <c r="G96" t="s">
        <v>601</v>
      </c>
      <c r="H96" s="10" t="s">
        <v>267</v>
      </c>
    </row>
    <row r="97" spans="1:8">
      <c r="A97" t="s">
        <v>210</v>
      </c>
      <c r="B97">
        <v>32958760</v>
      </c>
      <c r="C97" t="s">
        <v>208</v>
      </c>
      <c r="D97" t="s">
        <v>211</v>
      </c>
      <c r="E97" t="str">
        <f>VLOOKUP(A97,_HGNC_REF!$A$2:$C$108,3,FALSE())</f>
        <v>HGNC:7562</v>
      </c>
      <c r="F97" t="s">
        <v>244</v>
      </c>
      <c r="G97" t="s">
        <v>601</v>
      </c>
      <c r="H97" s="10" t="s">
        <v>267</v>
      </c>
    </row>
    <row r="98" spans="1:8">
      <c r="A98" t="s">
        <v>212</v>
      </c>
      <c r="B98">
        <v>32958760</v>
      </c>
      <c r="C98" t="s">
        <v>208</v>
      </c>
      <c r="D98" t="s">
        <v>213</v>
      </c>
      <c r="E98" t="str">
        <f>VLOOKUP(A98,_HGNC_REF!$A$2:$C$108,3,FALSE())</f>
        <v>HGNC:7794</v>
      </c>
      <c r="F98" t="s">
        <v>244</v>
      </c>
      <c r="G98" t="s">
        <v>601</v>
      </c>
      <c r="H98" s="10" t="s">
        <v>267</v>
      </c>
    </row>
    <row r="99" spans="1:8">
      <c r="A99" t="s">
        <v>214</v>
      </c>
      <c r="B99">
        <v>32958760</v>
      </c>
      <c r="C99" t="s">
        <v>208</v>
      </c>
      <c r="D99" t="s">
        <v>215</v>
      </c>
      <c r="E99" t="str">
        <f>VLOOKUP(A99,_HGNC_REF!$A$2:$C$108,3,FALSE())</f>
        <v>HGNC:9955</v>
      </c>
      <c r="F99" t="s">
        <v>244</v>
      </c>
      <c r="G99" t="s">
        <v>601</v>
      </c>
      <c r="H99" s="10" t="s">
        <v>267</v>
      </c>
    </row>
    <row r="100" spans="1:8">
      <c r="A100" t="s">
        <v>216</v>
      </c>
      <c r="B100">
        <v>32958760</v>
      </c>
      <c r="C100" t="s">
        <v>208</v>
      </c>
      <c r="D100" t="s">
        <v>217</v>
      </c>
      <c r="E100" t="str">
        <f>VLOOKUP(A100,_HGNC_REF!$A$2:$C$108,3,FALSE())</f>
        <v>HGNC:7797</v>
      </c>
      <c r="F100" t="s">
        <v>244</v>
      </c>
      <c r="G100" t="s">
        <v>601</v>
      </c>
      <c r="H100" s="10" t="s">
        <v>267</v>
      </c>
    </row>
    <row r="101" spans="1:8">
      <c r="A101" t="s">
        <v>218</v>
      </c>
      <c r="B101">
        <v>32958760</v>
      </c>
      <c r="C101" t="s">
        <v>208</v>
      </c>
      <c r="D101" t="s">
        <v>219</v>
      </c>
      <c r="E101" t="str">
        <f>VLOOKUP(A101,_HGNC_REF!$A$2:$C$108,3,FALSE())</f>
        <v>HGNC:11892</v>
      </c>
      <c r="F101" t="s">
        <v>244</v>
      </c>
      <c r="G101" t="s">
        <v>601</v>
      </c>
      <c r="H101" s="10" t="s">
        <v>267</v>
      </c>
    </row>
    <row r="102" spans="1:8">
      <c r="A102" t="s">
        <v>220</v>
      </c>
      <c r="B102">
        <v>32958760</v>
      </c>
      <c r="C102" t="s">
        <v>208</v>
      </c>
      <c r="D102" t="s">
        <v>221</v>
      </c>
      <c r="E102" t="str">
        <f>VLOOKUP(A102,_HGNC_REF!$A$2:$C$108,3,FALSE())</f>
        <v>HGNC:5992</v>
      </c>
      <c r="F102" t="s">
        <v>244</v>
      </c>
      <c r="G102" t="s">
        <v>601</v>
      </c>
      <c r="H102" s="10" t="s">
        <v>267</v>
      </c>
    </row>
    <row r="103" spans="1:8">
      <c r="A103" t="s">
        <v>222</v>
      </c>
      <c r="B103">
        <v>32958760</v>
      </c>
      <c r="C103" t="s">
        <v>208</v>
      </c>
      <c r="D103" t="s">
        <v>223</v>
      </c>
      <c r="E103" t="str">
        <f>VLOOKUP(A103,_HGNC_REF!$A$2:$C$108,3,FALSE())</f>
        <v>HGNC:6018</v>
      </c>
      <c r="F103" t="s">
        <v>244</v>
      </c>
      <c r="G103" t="s">
        <v>601</v>
      </c>
      <c r="H103" s="10" t="s">
        <v>267</v>
      </c>
    </row>
    <row r="104" spans="1:8">
      <c r="A104" t="s">
        <v>224</v>
      </c>
      <c r="B104">
        <v>32958760</v>
      </c>
      <c r="C104" t="s">
        <v>208</v>
      </c>
      <c r="D104" t="s">
        <v>225</v>
      </c>
      <c r="E104" t="str">
        <f>VLOOKUP(A104,_HGNC_REF!$A$2:$C$108,3,FALSE())</f>
        <v>HGNC:6025</v>
      </c>
      <c r="F104" t="s">
        <v>244</v>
      </c>
      <c r="G104" t="s">
        <v>601</v>
      </c>
      <c r="H104" s="10" t="s">
        <v>267</v>
      </c>
    </row>
    <row r="105" spans="1:8">
      <c r="A105" t="s">
        <v>226</v>
      </c>
      <c r="B105">
        <v>24186934</v>
      </c>
      <c r="C105" t="s">
        <v>227</v>
      </c>
      <c r="D105" t="s">
        <v>228</v>
      </c>
      <c r="E105" t="str">
        <f>VLOOKUP(A105,_HGNC_REF!$A$2:$C$108,3,FALSE())</f>
        <v>HGNC:7176</v>
      </c>
      <c r="F105" t="s">
        <v>244</v>
      </c>
      <c r="G105" t="s">
        <v>601</v>
      </c>
      <c r="H105" s="10" t="s">
        <v>267</v>
      </c>
    </row>
    <row r="106" spans="1:8">
      <c r="A106" t="s">
        <v>229</v>
      </c>
      <c r="B106">
        <v>32958760</v>
      </c>
      <c r="C106" t="s">
        <v>208</v>
      </c>
      <c r="D106" t="s">
        <v>230</v>
      </c>
      <c r="E106" t="str">
        <f>VLOOKUP(A106,_HGNC_REF!$A$2:$C$108,3,FALSE())</f>
        <v>HGNC:7873</v>
      </c>
      <c r="F106" t="s">
        <v>244</v>
      </c>
      <c r="G106" t="s">
        <v>601</v>
      </c>
      <c r="H106" s="10" t="s">
        <v>267</v>
      </c>
    </row>
    <row r="107" spans="1:8">
      <c r="A107" t="s">
        <v>231</v>
      </c>
      <c r="B107">
        <v>31036962</v>
      </c>
      <c r="C107" t="s">
        <v>232</v>
      </c>
      <c r="D107" t="s">
        <v>233</v>
      </c>
      <c r="E107" t="str">
        <f>VLOOKUP(A107,_HGNC_REF!$A$2:$C$108,3,FALSE())</f>
        <v>HGNC:16400</v>
      </c>
      <c r="F107" t="s">
        <v>244</v>
      </c>
      <c r="G107" t="s">
        <v>601</v>
      </c>
      <c r="H107" s="10" t="s">
        <v>267</v>
      </c>
    </row>
    <row r="108" spans="1:8">
      <c r="A108" t="s">
        <v>234</v>
      </c>
      <c r="B108">
        <v>31036962</v>
      </c>
      <c r="C108" t="s">
        <v>232</v>
      </c>
      <c r="D108" t="s">
        <v>235</v>
      </c>
      <c r="E108" t="str">
        <f>VLOOKUP(A108,_HGNC_REF!$A$2:$C$108,3,FALSE())</f>
        <v>HGNC:1499</v>
      </c>
      <c r="F108" t="s">
        <v>244</v>
      </c>
      <c r="G108" t="s">
        <v>601</v>
      </c>
      <c r="H108" s="10" t="s">
        <v>267</v>
      </c>
    </row>
    <row r="109" spans="1:8">
      <c r="A109" t="s">
        <v>236</v>
      </c>
      <c r="B109">
        <v>29880500</v>
      </c>
      <c r="C109" t="s">
        <v>237</v>
      </c>
      <c r="D109" t="s">
        <v>238</v>
      </c>
      <c r="E109" t="str">
        <f>VLOOKUP(A109,_HGNC_REF!$A$2:$C$108,3,FALSE())</f>
        <v>HGNC:5986</v>
      </c>
      <c r="F109" t="s">
        <v>244</v>
      </c>
      <c r="G109" t="s">
        <v>601</v>
      </c>
      <c r="H109" s="10" t="s">
        <v>267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4" customWidth="1"/>
    <col min="2" max="2" width="12" customWidth="1"/>
    <col min="3" max="3" width="30" customWidth="1"/>
    <col min="4" max="4" width="14" customWidth="1"/>
  </cols>
  <sheetData>
    <row r="1" spans="1:4" ht="15" customHeight="1">
      <c r="A1" s="1" t="s">
        <v>0</v>
      </c>
      <c r="B1" s="1" t="s">
        <v>1</v>
      </c>
      <c r="C1" s="1" t="s">
        <v>264</v>
      </c>
      <c r="D1" s="2" t="s">
        <v>4</v>
      </c>
    </row>
    <row r="2" spans="1:4" ht="15" customHeight="1">
      <c r="A2" s="3" t="s">
        <v>5</v>
      </c>
      <c r="B2" s="3">
        <v>37724323</v>
      </c>
      <c r="C2" s="3" t="s">
        <v>240</v>
      </c>
      <c r="D2" t="str">
        <f>VLOOKUP(A2,_HGNC_REF!$A$2:$C$108,3,FALSE())</f>
        <v>HGNC:6553</v>
      </c>
    </row>
    <row r="3" spans="1:4" ht="15" customHeight="1">
      <c r="A3" s="3" t="s">
        <v>8</v>
      </c>
      <c r="B3" s="3">
        <v>37724323</v>
      </c>
      <c r="C3" s="3" t="s">
        <v>240</v>
      </c>
      <c r="D3" t="str">
        <f>VLOOKUP(A3,_HGNC_REF!$A$2:$C$108,3,FALSE())</f>
        <v>HGNC:6554</v>
      </c>
    </row>
    <row r="4" spans="1:4" ht="15" customHeight="1">
      <c r="A4" s="3" t="s">
        <v>10</v>
      </c>
      <c r="B4" s="3">
        <v>37724323</v>
      </c>
      <c r="C4" s="3" t="s">
        <v>240</v>
      </c>
      <c r="D4" t="str">
        <f>VLOOKUP(A4,_HGNC_REF!$A$2:$C$108,3,FALSE())</f>
        <v>HGNC:6192</v>
      </c>
    </row>
    <row r="5" spans="1:4" ht="15" customHeight="1">
      <c r="A5" s="3" t="s">
        <v>12</v>
      </c>
      <c r="B5" s="3">
        <v>37724323</v>
      </c>
      <c r="C5" s="3" t="s">
        <v>240</v>
      </c>
      <c r="D5" t="str">
        <f>VLOOKUP(A5,_HGNC_REF!$A$2:$C$108,3,FALSE())</f>
        <v>HGNC:11364</v>
      </c>
    </row>
    <row r="6" spans="1:4" ht="15" customHeight="1">
      <c r="A6" s="3" t="s">
        <v>14</v>
      </c>
      <c r="B6" s="3">
        <v>28283069</v>
      </c>
      <c r="C6" s="3" t="s">
        <v>240</v>
      </c>
      <c r="D6" t="str">
        <f>VLOOKUP(A6,_HGNC_REF!$A$2:$C$108,3,FALSE())</f>
        <v>HGNC:8975</v>
      </c>
    </row>
    <row r="7" spans="1:4" ht="15" customHeight="1">
      <c r="A7" s="3" t="s">
        <v>17</v>
      </c>
      <c r="B7" s="3">
        <v>28283069</v>
      </c>
      <c r="C7" s="3" t="s">
        <v>240</v>
      </c>
      <c r="D7" t="str">
        <f>VLOOKUP(A7,_HGNC_REF!$A$2:$C$108,3,FALSE())</f>
        <v>HGNC:8976</v>
      </c>
    </row>
    <row r="8" spans="1:4" ht="15" customHeight="1">
      <c r="A8" s="3" t="s">
        <v>19</v>
      </c>
      <c r="B8" s="3">
        <v>28283069</v>
      </c>
      <c r="C8" s="3" t="s">
        <v>240</v>
      </c>
      <c r="D8" t="str">
        <f>VLOOKUP(A8,_HGNC_REF!$A$2:$C$108,3,FALSE())</f>
        <v>HGNC:391</v>
      </c>
    </row>
    <row r="9" spans="1:4" ht="15" customHeight="1">
      <c r="A9" s="3" t="s">
        <v>21</v>
      </c>
      <c r="B9" s="3">
        <v>28283069</v>
      </c>
      <c r="C9" s="3" t="s">
        <v>240</v>
      </c>
      <c r="D9" t="str">
        <f>VLOOKUP(A9,_HGNC_REF!$A$2:$C$108,3,FALSE())</f>
        <v>HGNC:392</v>
      </c>
    </row>
    <row r="10" spans="1:4" ht="15" customHeight="1">
      <c r="A10" s="3" t="s">
        <v>23</v>
      </c>
      <c r="B10" s="3">
        <v>28283069</v>
      </c>
      <c r="C10" s="3" t="s">
        <v>240</v>
      </c>
      <c r="D10" t="str">
        <f>VLOOKUP(A10,_HGNC_REF!$A$2:$C$108,3,FALSE())</f>
        <v>HGNC:3942</v>
      </c>
    </row>
    <row r="11" spans="1:4" ht="15" customHeight="1">
      <c r="A11" s="3" t="s">
        <v>25</v>
      </c>
      <c r="B11" s="3">
        <v>28283069</v>
      </c>
      <c r="C11" s="3" t="s">
        <v>240</v>
      </c>
      <c r="D11" t="str">
        <f>VLOOKUP(A11,_HGNC_REF!$A$2:$C$108,3,FALSE())</f>
        <v>HGNC:30287</v>
      </c>
    </row>
    <row r="12" spans="1:4" ht="15" customHeight="1">
      <c r="A12" s="3" t="s">
        <v>27</v>
      </c>
      <c r="B12" s="3">
        <v>28283069</v>
      </c>
      <c r="C12" s="3" t="s">
        <v>240</v>
      </c>
      <c r="D12" t="str">
        <f>VLOOKUP(A12,_HGNC_REF!$A$2:$C$108,3,FALSE())</f>
        <v>HGNC:22953</v>
      </c>
    </row>
    <row r="13" spans="1:4" ht="15" customHeight="1">
      <c r="A13" s="3" t="s">
        <v>29</v>
      </c>
      <c r="B13" s="3">
        <v>28283069</v>
      </c>
      <c r="C13" s="3" t="s">
        <v>240</v>
      </c>
      <c r="D13" t="str">
        <f>VLOOKUP(A13,_HGNC_REF!$A$2:$C$108,3,FALSE())</f>
        <v>HGNC:12362</v>
      </c>
    </row>
    <row r="14" spans="1:4" ht="15" customHeight="1">
      <c r="A14" s="3" t="s">
        <v>31</v>
      </c>
      <c r="B14" s="3">
        <v>28283069</v>
      </c>
      <c r="C14" s="3" t="s">
        <v>240</v>
      </c>
      <c r="D14" t="str">
        <f>VLOOKUP(A14,_HGNC_REF!$A$2:$C$108,3,FALSE())</f>
        <v>HGNC:12363</v>
      </c>
    </row>
    <row r="15" spans="1:4" ht="15" customHeight="1">
      <c r="A15" s="3" t="s">
        <v>33</v>
      </c>
      <c r="B15" s="3">
        <v>28283069</v>
      </c>
      <c r="C15" s="3" t="s">
        <v>240</v>
      </c>
      <c r="D15" t="str">
        <f>VLOOKUP(A15,_HGNC_REF!$A$2:$C$108,3,FALSE())</f>
        <v>HGNC:10011</v>
      </c>
    </row>
    <row r="16" spans="1:4" ht="15" customHeight="1">
      <c r="A16" s="3" t="s">
        <v>35</v>
      </c>
      <c r="B16" s="3">
        <v>28283069</v>
      </c>
      <c r="C16" s="3" t="s">
        <v>240</v>
      </c>
      <c r="D16" t="str">
        <f>VLOOKUP(A16,_HGNC_REF!$A$2:$C$108,3,FALSE())</f>
        <v>HGNC:10436</v>
      </c>
    </row>
    <row r="17" spans="1:4" ht="15" customHeight="1">
      <c r="A17" s="3" t="s">
        <v>37</v>
      </c>
      <c r="B17" s="3">
        <v>28283069</v>
      </c>
      <c r="C17" s="3" t="s">
        <v>240</v>
      </c>
      <c r="D17" t="str">
        <f>VLOOKUP(A17,_HGNC_REF!$A$2:$C$108,3,FALSE())</f>
        <v>HGNC:3288</v>
      </c>
    </row>
    <row r="18" spans="1:4" ht="15" customHeight="1">
      <c r="A18" s="3" t="s">
        <v>39</v>
      </c>
      <c r="B18" s="3">
        <v>28283069</v>
      </c>
      <c r="C18" s="3" t="s">
        <v>240</v>
      </c>
      <c r="D18" t="str">
        <f>VLOOKUP(A18,_HGNC_REF!$A$2:$C$108,3,FALSE())</f>
        <v>HGNC:10429</v>
      </c>
    </row>
    <row r="19" spans="1:4" ht="15" customHeight="1">
      <c r="A19" s="3" t="s">
        <v>41</v>
      </c>
      <c r="B19" s="3">
        <v>37724323</v>
      </c>
      <c r="C19" s="3" t="s">
        <v>240</v>
      </c>
      <c r="D19" t="str">
        <f>VLOOKUP(A19,_HGNC_REF!$A$2:$C$108,3,FALSE())</f>
        <v>HGNC:19391</v>
      </c>
    </row>
    <row r="20" spans="1:4" ht="15" customHeight="1">
      <c r="A20" s="3" t="s">
        <v>43</v>
      </c>
      <c r="B20" s="3">
        <v>37724323</v>
      </c>
      <c r="C20" s="3" t="s">
        <v>240</v>
      </c>
      <c r="D20" t="str">
        <f>VLOOKUP(A20,_HGNC_REF!$A$2:$C$108,3,FALSE())</f>
        <v>HGNC:6125</v>
      </c>
    </row>
    <row r="21" spans="1:4" ht="15" customHeight="1">
      <c r="A21" s="3" t="s">
        <v>45</v>
      </c>
      <c r="B21" s="3">
        <v>37724323</v>
      </c>
      <c r="C21" s="3" t="s">
        <v>240</v>
      </c>
      <c r="D21" t="str">
        <f>VLOOKUP(A21,_HGNC_REF!$A$2:$C$108,3,FALSE())</f>
        <v>HGNC:6126</v>
      </c>
    </row>
    <row r="22" spans="1:4" ht="15" customHeight="1">
      <c r="A22" s="3" t="s">
        <v>47</v>
      </c>
      <c r="B22" s="3">
        <v>28283069</v>
      </c>
      <c r="C22" s="3" t="s">
        <v>240</v>
      </c>
      <c r="D22" t="str">
        <f>VLOOKUP(A22,_HGNC_REF!$A$2:$C$108,3,FALSE())</f>
        <v>HGNC:9588</v>
      </c>
    </row>
    <row r="23" spans="1:4" ht="15" customHeight="1">
      <c r="A23" s="3" t="s">
        <v>49</v>
      </c>
      <c r="B23" s="3">
        <v>37724323</v>
      </c>
      <c r="C23" s="3" t="s">
        <v>240</v>
      </c>
      <c r="D23" t="str">
        <f>VLOOKUP(A23,_HGNC_REF!$A$2:$C$108,3,FALSE())</f>
        <v>HGNC:3819</v>
      </c>
    </row>
    <row r="24" spans="1:4" ht="15" customHeight="1">
      <c r="A24" s="3" t="s">
        <v>94</v>
      </c>
      <c r="B24" s="3">
        <v>22536247</v>
      </c>
      <c r="C24" s="3" t="s">
        <v>242</v>
      </c>
      <c r="D24" t="str">
        <f>VLOOKUP(A24,_HGNC_REF!$A$2:$C$108,3,FALSE())</f>
        <v>HGNC:248</v>
      </c>
    </row>
    <row r="25" spans="1:4" ht="15" customHeight="1">
      <c r="A25" s="3" t="s">
        <v>97</v>
      </c>
      <c r="B25" s="3">
        <v>33794741</v>
      </c>
      <c r="C25" s="3" t="s">
        <v>242</v>
      </c>
      <c r="D25" t="str">
        <f>VLOOKUP(A25,_HGNC_REF!$A$2:$C$108,3,FALSE())</f>
        <v>HGNC:16893</v>
      </c>
    </row>
    <row r="26" spans="1:4" ht="15" customHeight="1">
      <c r="A26" s="3" t="s">
        <v>100</v>
      </c>
      <c r="B26" s="3">
        <v>33794741</v>
      </c>
      <c r="C26" s="3" t="s">
        <v>242</v>
      </c>
      <c r="D26" t="str">
        <f>VLOOKUP(A26,_HGNC_REF!$A$2:$C$108,3,FALSE())</f>
        <v>HGNC:33196</v>
      </c>
    </row>
    <row r="27" spans="1:4" ht="15" customHeight="1">
      <c r="A27" s="3" t="s">
        <v>102</v>
      </c>
      <c r="B27" s="3">
        <v>30523332</v>
      </c>
      <c r="C27" s="3" t="s">
        <v>242</v>
      </c>
      <c r="D27" t="str">
        <f>VLOOKUP(A27,_HGNC_REF!$A$2:$C$108,3,FALSE())</f>
        <v>HGNC:1976</v>
      </c>
    </row>
    <row r="28" spans="1:4" ht="15" customHeight="1">
      <c r="A28" s="3" t="s">
        <v>105</v>
      </c>
      <c r="B28" s="3">
        <v>30523332</v>
      </c>
      <c r="C28" s="3" t="s">
        <v>242</v>
      </c>
      <c r="D28" t="str">
        <f>VLOOKUP(A28,_HGNC_REF!$A$2:$C$108,3,FALSE())</f>
        <v>HGNC:24229</v>
      </c>
    </row>
    <row r="29" spans="1:4" ht="15" customHeight="1">
      <c r="A29" s="3" t="s">
        <v>107</v>
      </c>
      <c r="B29" s="3">
        <v>30523332</v>
      </c>
      <c r="C29" s="3" t="s">
        <v>242</v>
      </c>
      <c r="D29" t="str">
        <f>VLOOKUP(A29,_HGNC_REF!$A$2:$C$108,3,FALSE())</f>
        <v>HGNC:16135</v>
      </c>
    </row>
    <row r="30" spans="1:4" ht="15" customHeight="1">
      <c r="A30" s="3" t="s">
        <v>109</v>
      </c>
      <c r="B30" s="3">
        <v>30523332</v>
      </c>
      <c r="C30" s="3" t="s">
        <v>242</v>
      </c>
      <c r="D30" t="str">
        <f>VLOOKUP(A30,_HGNC_REF!$A$2:$C$108,3,FALSE())</f>
        <v>HGNC:2843</v>
      </c>
    </row>
    <row r="31" spans="1:4" ht="15" customHeight="1">
      <c r="A31" s="3" t="s">
        <v>111</v>
      </c>
      <c r="B31" s="3">
        <v>30523332</v>
      </c>
      <c r="C31" s="3" t="s">
        <v>242</v>
      </c>
      <c r="D31" t="str">
        <f>VLOOKUP(A31,_HGNC_REF!$A$2:$C$108,3,FALSE())</f>
        <v>HGNC:16940</v>
      </c>
    </row>
    <row r="32" spans="1:4" ht="15" customHeight="1">
      <c r="A32" s="3" t="s">
        <v>113</v>
      </c>
      <c r="B32" s="3">
        <v>33794741</v>
      </c>
      <c r="C32" s="3" t="s">
        <v>242</v>
      </c>
      <c r="D32" t="str">
        <f>VLOOKUP(A32,_HGNC_REF!$A$2:$C$108,3,FALSE())</f>
        <v>HGNC:30802</v>
      </c>
    </row>
    <row r="33" spans="1:4" ht="15" customHeight="1">
      <c r="A33" s="3" t="s">
        <v>115</v>
      </c>
      <c r="B33" s="3">
        <v>33794741</v>
      </c>
      <c r="C33" s="3" t="s">
        <v>242</v>
      </c>
      <c r="D33" t="str">
        <f>VLOOKUP(A33,_HGNC_REF!$A$2:$C$108,3,FALSE())</f>
        <v>HGNC:6617</v>
      </c>
    </row>
    <row r="34" spans="1:4" ht="15" customHeight="1">
      <c r="A34" s="3" t="s">
        <v>117</v>
      </c>
      <c r="B34" s="3">
        <v>30523332</v>
      </c>
      <c r="C34" s="3" t="s">
        <v>242</v>
      </c>
      <c r="D34" t="str">
        <f>VLOOKUP(A34,_HGNC_REF!$A$2:$C$108,3,FALSE())</f>
        <v>HGNC:6621</v>
      </c>
    </row>
    <row r="35" spans="1:4" ht="15" customHeight="1">
      <c r="A35" s="3" t="s">
        <v>119</v>
      </c>
      <c r="B35" s="3">
        <v>33794741</v>
      </c>
      <c r="C35" s="3" t="s">
        <v>242</v>
      </c>
      <c r="D35" t="str">
        <f>VLOOKUP(A35,_HGNC_REF!$A$2:$C$108,3,FALSE())</f>
        <v>HGNC:13352</v>
      </c>
    </row>
    <row r="36" spans="1:4" ht="15" customHeight="1">
      <c r="A36" s="3" t="s">
        <v>121</v>
      </c>
      <c r="B36" s="3">
        <v>30633901</v>
      </c>
      <c r="C36" s="3" t="s">
        <v>242</v>
      </c>
      <c r="D36" t="str">
        <f>VLOOKUP(A36,_HGNC_REF!$A$2:$C$108,3,FALSE())</f>
        <v>HGNC:4068</v>
      </c>
    </row>
    <row r="37" spans="1:4" ht="15" customHeight="1">
      <c r="A37" s="3" t="s">
        <v>123</v>
      </c>
      <c r="B37" s="3">
        <v>33794741</v>
      </c>
      <c r="C37" s="3" t="s">
        <v>242</v>
      </c>
      <c r="D37" t="str">
        <f>VLOOKUP(A37,_HGNC_REF!$A$2:$C$108,3,FALSE())</f>
        <v>HGNC:6501</v>
      </c>
    </row>
    <row r="38" spans="1:4" ht="15" customHeight="1">
      <c r="A38" s="3" t="s">
        <v>78</v>
      </c>
      <c r="B38" s="3">
        <v>33794741</v>
      </c>
      <c r="C38" s="3" t="s">
        <v>242</v>
      </c>
      <c r="D38" t="str">
        <f>VLOOKUP(A38,_HGNC_REF!$A$2:$C$108,3,FALSE())</f>
        <v>HGNC:9788</v>
      </c>
    </row>
    <row r="39" spans="1:4" ht="15" customHeight="1">
      <c r="A39" s="3" t="s">
        <v>126</v>
      </c>
      <c r="B39" s="3">
        <v>35991116</v>
      </c>
      <c r="C39" s="3" t="s">
        <v>242</v>
      </c>
      <c r="D39" t="str">
        <f>VLOOKUP(A39,_HGNC_REF!$A$2:$C$108,3,FALSE())</f>
        <v>HGNC:1663</v>
      </c>
    </row>
    <row r="40" spans="1:4" ht="15" customHeight="1">
      <c r="A40" s="3" t="s">
        <v>129</v>
      </c>
      <c r="B40" s="3">
        <v>30523332</v>
      </c>
      <c r="C40" s="3" t="s">
        <v>242</v>
      </c>
      <c r="D40" t="str">
        <f>VLOOKUP(A40,_HGNC_REF!$A$2:$C$108,3,FALSE())</f>
        <v>HGNC:3559</v>
      </c>
    </row>
    <row r="41" spans="1:4" ht="15" customHeight="1">
      <c r="A41" s="3" t="s">
        <v>131</v>
      </c>
      <c r="B41" s="3">
        <v>33794741</v>
      </c>
      <c r="C41" s="3" t="s">
        <v>242</v>
      </c>
      <c r="D41" t="str">
        <f>VLOOKUP(A41,_HGNC_REF!$A$2:$C$108,3,FALSE())</f>
        <v>HGNC:2328</v>
      </c>
    </row>
    <row r="42" spans="1:4" ht="15" customHeight="1">
      <c r="A42" s="3" t="s">
        <v>133</v>
      </c>
      <c r="B42" s="3">
        <v>33794741</v>
      </c>
      <c r="C42" s="3" t="s">
        <v>242</v>
      </c>
      <c r="D42" t="str">
        <f>VLOOKUP(A42,_HGNC_REF!$A$2:$C$108,3,FALSE())</f>
        <v>HGNC:9232</v>
      </c>
    </row>
    <row r="43" spans="1:4" ht="15" customHeight="1">
      <c r="A43" s="3" t="s">
        <v>135</v>
      </c>
      <c r="B43" s="3">
        <v>30391710</v>
      </c>
      <c r="C43" s="3" t="s">
        <v>242</v>
      </c>
      <c r="D43" t="str">
        <f>VLOOKUP(A43,_HGNC_REF!$A$2:$C$108,3,FALSE())</f>
        <v>HGNC:28900</v>
      </c>
    </row>
    <row r="44" spans="1:4" ht="15" customHeight="1">
      <c r="A44" s="3" t="s">
        <v>138</v>
      </c>
      <c r="B44" s="3">
        <v>22385114</v>
      </c>
      <c r="C44" s="3" t="s">
        <v>242</v>
      </c>
      <c r="D44" t="str">
        <f>VLOOKUP(A44,_HGNC_REF!$A$2:$C$108,3,FALSE())</f>
        <v>HGNC:24865</v>
      </c>
    </row>
    <row r="45" spans="1:4" ht="15" customHeight="1">
      <c r="A45" s="3" t="s">
        <v>141</v>
      </c>
      <c r="B45" s="3">
        <v>30523332</v>
      </c>
      <c r="C45" s="3" t="s">
        <v>242</v>
      </c>
      <c r="D45" t="str">
        <f>VLOOKUP(A45,_HGNC_REF!$A$2:$C$108,3,FALSE())</f>
        <v>HGNC:29393</v>
      </c>
    </row>
    <row r="46" spans="1:4" ht="15" customHeight="1">
      <c r="A46" s="3" t="s">
        <v>51</v>
      </c>
      <c r="B46" s="3">
        <v>30633901</v>
      </c>
      <c r="C46" s="3" t="s">
        <v>241</v>
      </c>
      <c r="D46" t="str">
        <f>VLOOKUP(A46,_HGNC_REF!$A$2:$C$108,3,FALSE())</f>
        <v>HGNC:12558</v>
      </c>
    </row>
    <row r="47" spans="1:4" ht="15" customHeight="1">
      <c r="A47" s="3" t="s">
        <v>54</v>
      </c>
      <c r="B47" s="3">
        <v>30633901</v>
      </c>
      <c r="C47" s="3" t="s">
        <v>241</v>
      </c>
      <c r="D47" t="str">
        <f>VLOOKUP(A47,_HGNC_REF!$A$2:$C$108,3,FALSE())</f>
        <v>HGNC:29091</v>
      </c>
    </row>
    <row r="48" spans="1:4" ht="15" customHeight="1">
      <c r="A48" s="3" t="s">
        <v>56</v>
      </c>
      <c r="B48" s="3">
        <v>30633901</v>
      </c>
      <c r="C48" s="3" t="s">
        <v>241</v>
      </c>
      <c r="D48" t="str">
        <f>VLOOKUP(A48,_HGNC_REF!$A$2:$C$108,3,FALSE())</f>
        <v>HGNC:15574</v>
      </c>
    </row>
    <row r="49" spans="1:4" ht="15" customHeight="1">
      <c r="A49" s="3" t="s">
        <v>58</v>
      </c>
      <c r="B49" s="3">
        <v>28283069</v>
      </c>
      <c r="C49" s="3" t="s">
        <v>241</v>
      </c>
      <c r="D49" t="str">
        <f>VLOOKUP(A49,_HGNC_REF!$A$2:$C$108,3,FALSE())</f>
        <v>HGNC:11753</v>
      </c>
    </row>
    <row r="50" spans="1:4" ht="15" customHeight="1">
      <c r="A50" s="3" t="s">
        <v>60</v>
      </c>
      <c r="B50" s="3">
        <v>28283069</v>
      </c>
      <c r="C50" s="3" t="s">
        <v>241</v>
      </c>
      <c r="D50" t="str">
        <f>VLOOKUP(A50,_HGNC_REF!$A$2:$C$108,3,FALSE())</f>
        <v>HGNC:11752</v>
      </c>
    </row>
    <row r="51" spans="1:4" ht="15" customHeight="1">
      <c r="A51" s="3" t="s">
        <v>62</v>
      </c>
      <c r="B51" s="3">
        <v>30633901</v>
      </c>
      <c r="C51" s="3" t="s">
        <v>241</v>
      </c>
      <c r="D51" t="str">
        <f>VLOOKUP(A51,_HGNC_REF!$A$2:$C$108,3,FALSE())</f>
        <v>HGNC:1034</v>
      </c>
    </row>
    <row r="52" spans="1:4" ht="15" customHeight="1">
      <c r="A52" s="3" t="s">
        <v>64</v>
      </c>
      <c r="B52" s="3">
        <v>30633901</v>
      </c>
      <c r="C52" s="3" t="s">
        <v>241</v>
      </c>
      <c r="D52" t="str">
        <f>VLOOKUP(A52,_HGNC_REF!$A$2:$C$108,3,FALSE())</f>
        <v>HGNC:19962</v>
      </c>
    </row>
    <row r="53" spans="1:4" ht="15" customHeight="1">
      <c r="A53" s="3" t="s">
        <v>66</v>
      </c>
      <c r="B53" s="3">
        <v>30633901</v>
      </c>
      <c r="C53" s="3" t="s">
        <v>241</v>
      </c>
      <c r="D53" t="str">
        <f>VLOOKUP(A53,_HGNC_REF!$A$2:$C$108,3,FALSE())</f>
        <v>HGNC:8974</v>
      </c>
    </row>
    <row r="54" spans="1:4" ht="15" customHeight="1">
      <c r="A54" s="3" t="s">
        <v>68</v>
      </c>
      <c r="B54" s="3">
        <v>30633901</v>
      </c>
      <c r="C54" s="3" t="s">
        <v>241</v>
      </c>
      <c r="D54" t="str">
        <f>VLOOKUP(A54,_HGNC_REF!$A$2:$C$108,3,FALSE())</f>
        <v>HGNC:16935</v>
      </c>
    </row>
    <row r="55" spans="1:4" ht="15" customHeight="1">
      <c r="A55" s="3" t="s">
        <v>70</v>
      </c>
      <c r="B55" s="3">
        <v>30633901</v>
      </c>
      <c r="C55" s="3" t="s">
        <v>241</v>
      </c>
      <c r="D55" t="str">
        <f>VLOOKUP(A55,_HGNC_REF!$A$2:$C$108,3,FALSE())</f>
        <v>HGNC:589</v>
      </c>
    </row>
    <row r="56" spans="1:4" ht="15" customHeight="1">
      <c r="A56" s="3" t="s">
        <v>72</v>
      </c>
      <c r="B56" s="3">
        <v>30633901</v>
      </c>
      <c r="C56" s="3" t="s">
        <v>241</v>
      </c>
      <c r="D56" t="str">
        <f>VLOOKUP(A56,_HGNC_REF!$A$2:$C$108,3,FALSE())</f>
        <v>HGNC:588</v>
      </c>
    </row>
    <row r="57" spans="1:4" ht="15" customHeight="1">
      <c r="A57" s="3" t="s">
        <v>74</v>
      </c>
      <c r="B57" s="3">
        <v>30633901</v>
      </c>
      <c r="C57" s="3" t="s">
        <v>241</v>
      </c>
      <c r="D57" t="str">
        <f>VLOOKUP(A57,_HGNC_REF!$A$2:$C$108,3,FALSE())</f>
        <v>HGNC:21498</v>
      </c>
    </row>
    <row r="58" spans="1:4" ht="15" customHeight="1">
      <c r="A58" s="3" t="s">
        <v>76</v>
      </c>
      <c r="B58" s="3">
        <v>30633901</v>
      </c>
      <c r="C58" s="3" t="s">
        <v>241</v>
      </c>
      <c r="D58" t="str">
        <f>VLOOKUP(A58,_HGNC_REF!$A$2:$C$108,3,FALSE())</f>
        <v>HGNC:11280</v>
      </c>
    </row>
    <row r="59" spans="1:4" ht="15" customHeight="1">
      <c r="A59" s="3" t="s">
        <v>78</v>
      </c>
      <c r="B59" s="3">
        <v>30633901</v>
      </c>
      <c r="C59" s="3" t="s">
        <v>241</v>
      </c>
      <c r="D59" t="str">
        <f>VLOOKUP(A59,_HGNC_REF!$A$2:$C$108,3,FALSE())</f>
        <v>HGNC:9788</v>
      </c>
    </row>
    <row r="60" spans="1:4" ht="15" customHeight="1">
      <c r="A60" s="3" t="s">
        <v>80</v>
      </c>
      <c r="B60" s="3">
        <v>30633901</v>
      </c>
      <c r="C60" s="3" t="s">
        <v>241</v>
      </c>
      <c r="D60" t="str">
        <f>VLOOKUP(A60,_HGNC_REF!$A$2:$C$108,3,FALSE())</f>
        <v>HGNC:11432</v>
      </c>
    </row>
    <row r="61" spans="1:4" ht="15" customHeight="1">
      <c r="A61" s="3" t="s">
        <v>82</v>
      </c>
      <c r="B61" s="3">
        <v>30633901</v>
      </c>
      <c r="C61" s="3" t="s">
        <v>241</v>
      </c>
      <c r="D61" t="str">
        <f>VLOOKUP(A61,_HGNC_REF!$A$2:$C$108,3,FALSE())</f>
        <v>HGNC:25471</v>
      </c>
    </row>
    <row r="62" spans="1:4" ht="15" customHeight="1">
      <c r="A62" s="3" t="s">
        <v>84</v>
      </c>
      <c r="B62" s="3">
        <v>30633901</v>
      </c>
      <c r="C62" s="3" t="s">
        <v>241</v>
      </c>
      <c r="D62" t="str">
        <f>VLOOKUP(A62,_HGNC_REF!$A$2:$C$108,3,FALSE())</f>
        <v>HGNC:32225</v>
      </c>
    </row>
    <row r="63" spans="1:4" ht="15" customHeight="1">
      <c r="A63" s="3" t="s">
        <v>86</v>
      </c>
      <c r="B63" s="3">
        <v>28283069</v>
      </c>
      <c r="C63" s="3" t="s">
        <v>241</v>
      </c>
      <c r="D63" t="str">
        <f>VLOOKUP(A63,_HGNC_REF!$A$2:$C$108,3,FALSE())</f>
        <v>HGNC:9376</v>
      </c>
    </row>
    <row r="64" spans="1:4" ht="15" customHeight="1">
      <c r="A64" s="3" t="s">
        <v>88</v>
      </c>
      <c r="B64" s="3">
        <v>37175493</v>
      </c>
      <c r="C64" s="3" t="s">
        <v>241</v>
      </c>
      <c r="D64" t="str">
        <f>VLOOKUP(A64,_HGNC_REF!$A$2:$C$108,3,FALSE())</f>
        <v>HGNC:13853</v>
      </c>
    </row>
    <row r="65" spans="1:4" ht="15" customHeight="1">
      <c r="A65" s="3" t="s">
        <v>91</v>
      </c>
      <c r="B65" s="3">
        <v>38766825</v>
      </c>
      <c r="C65" s="3" t="s">
        <v>241</v>
      </c>
      <c r="D65" t="str">
        <f>VLOOKUP(A65,_HGNC_REF!$A$2:$C$108,3,FALSE())</f>
        <v>HGNC:13356</v>
      </c>
    </row>
    <row r="66" spans="1:4" ht="15" customHeight="1">
      <c r="A66" s="3" t="s">
        <v>143</v>
      </c>
      <c r="B66" s="3">
        <v>36829083</v>
      </c>
      <c r="C66" s="3" t="s">
        <v>243</v>
      </c>
      <c r="D66" t="str">
        <f>VLOOKUP(A66,_HGNC_REF!$A$2:$C$108,3,FALSE())</f>
        <v>HGNC:11255</v>
      </c>
    </row>
    <row r="67" spans="1:4" ht="15" customHeight="1">
      <c r="A67" s="3" t="s">
        <v>146</v>
      </c>
      <c r="B67" s="3">
        <v>36829083</v>
      </c>
      <c r="C67" s="3" t="s">
        <v>243</v>
      </c>
      <c r="D67" t="str">
        <f>VLOOKUP(A67,_HGNC_REF!$A$2:$C$108,3,FALSE())</f>
        <v>HGNC:5341</v>
      </c>
    </row>
    <row r="68" spans="1:4" ht="15" customHeight="1">
      <c r="A68" s="3" t="s">
        <v>148</v>
      </c>
      <c r="B68" s="3">
        <v>36829083</v>
      </c>
      <c r="C68" s="3" t="s">
        <v>243</v>
      </c>
      <c r="D68" t="str">
        <f>VLOOKUP(A68,_HGNC_REF!$A$2:$C$108,3,FALSE())</f>
        <v>HGNC:10472</v>
      </c>
    </row>
    <row r="69" spans="1:4" ht="15" customHeight="1">
      <c r="A69" s="3" t="s">
        <v>150</v>
      </c>
      <c r="B69" s="3">
        <v>36829083</v>
      </c>
      <c r="C69" s="3" t="s">
        <v>243</v>
      </c>
      <c r="D69" t="str">
        <f>VLOOKUP(A69,_HGNC_REF!$A$2:$C$108,3,FALSE())</f>
        <v>HGNC:438</v>
      </c>
    </row>
    <row r="70" spans="1:4" ht="15" customHeight="1">
      <c r="A70" s="3" t="s">
        <v>152</v>
      </c>
      <c r="B70" s="3">
        <v>36829083</v>
      </c>
      <c r="C70" s="3" t="s">
        <v>243</v>
      </c>
      <c r="D70" t="str">
        <f>VLOOKUP(A70,_HGNC_REF!$A$2:$C$108,3,FALSE())</f>
        <v>HGNC:1069</v>
      </c>
    </row>
    <row r="71" spans="1:4" ht="15" customHeight="1">
      <c r="A71" s="3" t="s">
        <v>154</v>
      </c>
      <c r="B71" s="3">
        <v>36829083</v>
      </c>
      <c r="C71" s="3" t="s">
        <v>243</v>
      </c>
      <c r="D71" t="str">
        <f>VLOOKUP(A71,_HGNC_REF!$A$2:$C$108,3,FALSE())</f>
        <v>HGNC:1043</v>
      </c>
    </row>
    <row r="72" spans="1:4" ht="15" customHeight="1">
      <c r="A72" s="3" t="s">
        <v>156</v>
      </c>
      <c r="B72" s="3">
        <v>36829083</v>
      </c>
      <c r="C72" s="3" t="s">
        <v>243</v>
      </c>
      <c r="D72" t="str">
        <f>VLOOKUP(A72,_HGNC_REF!$A$2:$C$108,3,FALSE())</f>
        <v>HGNC:2197</v>
      </c>
    </row>
    <row r="73" spans="1:4" ht="15" customHeight="1">
      <c r="A73" s="3" t="s">
        <v>158</v>
      </c>
      <c r="B73" s="3">
        <v>36829083</v>
      </c>
      <c r="C73" s="3" t="s">
        <v>243</v>
      </c>
      <c r="D73" t="str">
        <f>VLOOKUP(A73,_HGNC_REF!$A$2:$C$108,3,FALSE())</f>
        <v>HGNC:2198</v>
      </c>
    </row>
    <row r="74" spans="1:4" ht="15" customHeight="1">
      <c r="A74" s="3" t="s">
        <v>160</v>
      </c>
      <c r="B74" s="3">
        <v>36829083</v>
      </c>
      <c r="C74" s="3" t="s">
        <v>243</v>
      </c>
      <c r="D74" t="str">
        <f>VLOOKUP(A74,_HGNC_REF!$A$2:$C$108,3,FALSE())</f>
        <v>HGNC:17321</v>
      </c>
    </row>
    <row r="75" spans="1:4" ht="15" customHeight="1">
      <c r="A75" s="3" t="s">
        <v>162</v>
      </c>
      <c r="B75" s="3">
        <v>36829083</v>
      </c>
      <c r="C75" s="3" t="s">
        <v>243</v>
      </c>
      <c r="D75" t="str">
        <f>VLOOKUP(A75,_HGNC_REF!$A$2:$C$108,3,FALSE())</f>
        <v>HGNC:2918</v>
      </c>
    </row>
    <row r="76" spans="1:4" ht="15" customHeight="1">
      <c r="A76" s="3" t="s">
        <v>164</v>
      </c>
      <c r="B76" s="3">
        <v>36829083</v>
      </c>
      <c r="C76" s="3" t="s">
        <v>243</v>
      </c>
      <c r="D76" t="str">
        <f>VLOOKUP(A76,_HGNC_REF!$A$2:$C$108,3,FALSE())</f>
        <v>HGNC:7392</v>
      </c>
    </row>
    <row r="77" spans="1:4" ht="15" customHeight="1">
      <c r="A77" s="3" t="s">
        <v>166</v>
      </c>
      <c r="B77" s="3">
        <v>36829083</v>
      </c>
      <c r="C77" s="3" t="s">
        <v>243</v>
      </c>
      <c r="D77" t="str">
        <f>VLOOKUP(A77,_HGNC_REF!$A$2:$C$108,3,FALSE())</f>
        <v>HGNC:786</v>
      </c>
    </row>
    <row r="78" spans="1:4" ht="15" customHeight="1">
      <c r="A78" s="3" t="s">
        <v>168</v>
      </c>
      <c r="B78" s="3">
        <v>36620697</v>
      </c>
      <c r="C78" s="3" t="s">
        <v>243</v>
      </c>
      <c r="D78" t="str">
        <f>VLOOKUP(A78,_HGNC_REF!$A$2:$C$108,3,FALSE())</f>
        <v>HGNC:7060</v>
      </c>
    </row>
    <row r="79" spans="1:4" ht="15" customHeight="1">
      <c r="A79" s="3" t="s">
        <v>171</v>
      </c>
      <c r="B79" s="3">
        <v>36620697</v>
      </c>
      <c r="C79" s="3" t="s">
        <v>243</v>
      </c>
      <c r="D79" t="str">
        <f>VLOOKUP(A79,_HGNC_REF!$A$2:$C$108,3,FALSE())</f>
        <v>HGNC:3356</v>
      </c>
    </row>
    <row r="80" spans="1:4" ht="15" customHeight="1">
      <c r="A80" s="3" t="s">
        <v>173</v>
      </c>
      <c r="B80" s="3">
        <v>36620697</v>
      </c>
      <c r="C80" s="3" t="s">
        <v>243</v>
      </c>
      <c r="D80" t="str">
        <f>VLOOKUP(A80,_HGNC_REF!$A$2:$C$108,3,FALSE())</f>
        <v>HGNC:15492</v>
      </c>
    </row>
    <row r="81" spans="1:4" ht="15" customHeight="1">
      <c r="A81" s="3" t="s">
        <v>175</v>
      </c>
      <c r="B81" s="3">
        <v>36620697</v>
      </c>
      <c r="C81" s="3" t="s">
        <v>243</v>
      </c>
      <c r="D81" t="str">
        <f>VLOOKUP(A81,_HGNC_REF!$A$2:$C$108,3,FALSE())</f>
        <v>HGNC:16815</v>
      </c>
    </row>
    <row r="82" spans="1:4" ht="15" customHeight="1">
      <c r="A82" s="3" t="s">
        <v>177</v>
      </c>
      <c r="B82" s="3">
        <v>36620697</v>
      </c>
      <c r="C82" s="3" t="s">
        <v>243</v>
      </c>
      <c r="D82" t="str">
        <f>VLOOKUP(A82,_HGNC_REF!$A$2:$C$108,3,FALSE())</f>
        <v>HGNC:10946</v>
      </c>
    </row>
    <row r="83" spans="1:4" ht="15" customHeight="1">
      <c r="A83" s="3" t="s">
        <v>179</v>
      </c>
      <c r="B83" s="3">
        <v>36620697</v>
      </c>
      <c r="C83" s="3" t="s">
        <v>243</v>
      </c>
      <c r="D83" t="str">
        <f>VLOOKUP(A83,_HGNC_REF!$A$2:$C$108,3,FALSE())</f>
        <v>HGNC:10947</v>
      </c>
    </row>
    <row r="84" spans="1:4" ht="15" customHeight="1">
      <c r="A84" s="3" t="s">
        <v>181</v>
      </c>
      <c r="B84" s="3">
        <v>36829083</v>
      </c>
      <c r="C84" s="3" t="s">
        <v>243</v>
      </c>
      <c r="D84" t="str">
        <f>VLOOKUP(A84,_HGNC_REF!$A$2:$C$108,3,FALSE())</f>
        <v>HGNC:1071</v>
      </c>
    </row>
    <row r="85" spans="1:4" ht="15" customHeight="1">
      <c r="A85" s="3" t="s">
        <v>183</v>
      </c>
      <c r="B85" s="3">
        <v>36829083</v>
      </c>
      <c r="C85" s="3" t="s">
        <v>243</v>
      </c>
      <c r="D85" t="str">
        <f>VLOOKUP(A85,_HGNC_REF!$A$2:$C$108,3,FALSE())</f>
        <v>HGNC:15983</v>
      </c>
    </row>
    <row r="86" spans="1:4" ht="15" customHeight="1">
      <c r="A86" s="3" t="s">
        <v>185</v>
      </c>
      <c r="B86" s="3">
        <v>36829083</v>
      </c>
      <c r="C86" s="3" t="s">
        <v>243</v>
      </c>
      <c r="D86" t="str">
        <f>VLOOKUP(A86,_HGNC_REF!$A$2:$C$108,3,FALSE())</f>
        <v>HGNC:12784</v>
      </c>
    </row>
    <row r="87" spans="1:4" ht="15" customHeight="1">
      <c r="A87" s="3" t="s">
        <v>187</v>
      </c>
      <c r="B87" s="3">
        <v>36829083</v>
      </c>
      <c r="C87" s="3" t="s">
        <v>243</v>
      </c>
      <c r="D87" t="str">
        <f>VLOOKUP(A87,_HGNC_REF!$A$2:$C$108,3,FALSE())</f>
        <v>HGNC:11766</v>
      </c>
    </row>
    <row r="88" spans="1:4" ht="15" customHeight="1">
      <c r="A88" s="3" t="s">
        <v>189</v>
      </c>
      <c r="B88" s="3">
        <v>36829083</v>
      </c>
      <c r="C88" s="3" t="s">
        <v>243</v>
      </c>
      <c r="D88" t="str">
        <f>VLOOKUP(A88,_HGNC_REF!$A$2:$C$108,3,FALSE())</f>
        <v>HGNC:6697</v>
      </c>
    </row>
    <row r="89" spans="1:4" ht="15" customHeight="1">
      <c r="A89" s="3" t="s">
        <v>191</v>
      </c>
      <c r="B89" s="3">
        <v>36829083</v>
      </c>
      <c r="C89" s="3" t="s">
        <v>243</v>
      </c>
      <c r="D89" t="str">
        <f>VLOOKUP(A89,_HGNC_REF!$A$2:$C$108,3,FALSE())</f>
        <v>HGNC:6698</v>
      </c>
    </row>
    <row r="90" spans="1:4" ht="15" customHeight="1">
      <c r="A90" s="3" t="s">
        <v>193</v>
      </c>
      <c r="B90" s="3">
        <v>36829083</v>
      </c>
      <c r="C90" s="3" t="s">
        <v>243</v>
      </c>
      <c r="D90" t="str">
        <f>VLOOKUP(A90,_HGNC_REF!$A$2:$C$108,3,FALSE())</f>
        <v>HGNC:7881</v>
      </c>
    </row>
    <row r="91" spans="1:4" ht="15" customHeight="1">
      <c r="A91" s="3" t="s">
        <v>195</v>
      </c>
      <c r="B91" s="3">
        <v>36829083</v>
      </c>
      <c r="C91" s="3" t="s">
        <v>243</v>
      </c>
      <c r="D91" t="str">
        <f>VLOOKUP(A91,_HGNC_REF!$A$2:$C$108,3,FALSE())</f>
        <v>HGNC:6348</v>
      </c>
    </row>
    <row r="92" spans="1:4" ht="15" customHeight="1">
      <c r="A92" s="3" t="s">
        <v>197</v>
      </c>
      <c r="B92" s="3">
        <v>36829083</v>
      </c>
      <c r="C92" s="3" t="s">
        <v>243</v>
      </c>
      <c r="D92" t="str">
        <f>VLOOKUP(A92,_HGNC_REF!$A$2:$C$108,3,FALSE())</f>
        <v>HGNC:16953</v>
      </c>
    </row>
    <row r="93" spans="1:4" ht="15" customHeight="1">
      <c r="A93" s="3" t="s">
        <v>199</v>
      </c>
      <c r="B93" s="3">
        <v>22095980</v>
      </c>
      <c r="C93" s="3" t="s">
        <v>244</v>
      </c>
      <c r="D93" t="str">
        <f>VLOOKUP(A93,_HGNC_REF!$A$2:$C$108,3,FALSE())</f>
        <v>HGNC:10498</v>
      </c>
    </row>
    <row r="94" spans="1:4" ht="15" customHeight="1">
      <c r="A94" s="3" t="s">
        <v>202</v>
      </c>
      <c r="B94" s="3">
        <v>22095980</v>
      </c>
      <c r="C94" s="3" t="s">
        <v>244</v>
      </c>
      <c r="D94" t="str">
        <f>VLOOKUP(A94,_HGNC_REF!$A$2:$C$108,3,FALSE())</f>
        <v>HGNC:10499</v>
      </c>
    </row>
    <row r="95" spans="1:4" ht="15" customHeight="1">
      <c r="A95" s="3" t="s">
        <v>204</v>
      </c>
      <c r="B95" s="3">
        <v>27547766</v>
      </c>
      <c r="C95" s="3" t="s">
        <v>244</v>
      </c>
      <c r="D95" t="str">
        <f>VLOOKUP(A95,_HGNC_REF!$A$2:$C$108,3,FALSE())</f>
        <v>HGNC:320</v>
      </c>
    </row>
    <row r="96" spans="1:4" ht="15" customHeight="1">
      <c r="A96" s="3" t="s">
        <v>207</v>
      </c>
      <c r="B96" s="3">
        <v>32958760</v>
      </c>
      <c r="C96" s="3" t="s">
        <v>244</v>
      </c>
      <c r="D96" t="str">
        <f>VLOOKUP(A96,_HGNC_REF!$A$2:$C$108,3,FALSE())</f>
        <v>HGNC:11850</v>
      </c>
    </row>
    <row r="97" spans="1:4" ht="15" customHeight="1">
      <c r="A97" s="3" t="s">
        <v>210</v>
      </c>
      <c r="B97" s="3">
        <v>32958760</v>
      </c>
      <c r="C97" s="3" t="s">
        <v>244</v>
      </c>
      <c r="D97" t="str">
        <f>VLOOKUP(A97,_HGNC_REF!$A$2:$C$108,3,FALSE())</f>
        <v>HGNC:7562</v>
      </c>
    </row>
    <row r="98" spans="1:4" ht="15" customHeight="1">
      <c r="A98" s="3" t="s">
        <v>212</v>
      </c>
      <c r="B98" s="3">
        <v>32958760</v>
      </c>
      <c r="C98" s="3" t="s">
        <v>244</v>
      </c>
      <c r="D98" t="str">
        <f>VLOOKUP(A98,_HGNC_REF!$A$2:$C$108,3,FALSE())</f>
        <v>HGNC:7794</v>
      </c>
    </row>
    <row r="99" spans="1:4" ht="15" customHeight="1">
      <c r="A99" s="3" t="s">
        <v>214</v>
      </c>
      <c r="B99" s="3">
        <v>32958760</v>
      </c>
      <c r="C99" s="3" t="s">
        <v>244</v>
      </c>
      <c r="D99" t="str">
        <f>VLOOKUP(A99,_HGNC_REF!$A$2:$C$108,3,FALSE())</f>
        <v>HGNC:9955</v>
      </c>
    </row>
    <row r="100" spans="1:4" ht="15" customHeight="1">
      <c r="A100" s="3" t="s">
        <v>216</v>
      </c>
      <c r="B100" s="3">
        <v>32958760</v>
      </c>
      <c r="C100" s="3" t="s">
        <v>244</v>
      </c>
      <c r="D100" t="str">
        <f>VLOOKUP(A100,_HGNC_REF!$A$2:$C$108,3,FALSE())</f>
        <v>HGNC:7797</v>
      </c>
    </row>
    <row r="101" spans="1:4" ht="15" customHeight="1">
      <c r="A101" s="3" t="s">
        <v>218</v>
      </c>
      <c r="B101" s="3">
        <v>32958760</v>
      </c>
      <c r="C101" s="3" t="s">
        <v>244</v>
      </c>
      <c r="D101" t="str">
        <f>VLOOKUP(A101,_HGNC_REF!$A$2:$C$108,3,FALSE())</f>
        <v>HGNC:11892</v>
      </c>
    </row>
    <row r="102" spans="1:4" ht="15" customHeight="1">
      <c r="A102" s="3" t="s">
        <v>220</v>
      </c>
      <c r="B102" s="3">
        <v>32958760</v>
      </c>
      <c r="C102" s="3" t="s">
        <v>244</v>
      </c>
      <c r="D102" t="str">
        <f>VLOOKUP(A102,_HGNC_REF!$A$2:$C$108,3,FALSE())</f>
        <v>HGNC:5992</v>
      </c>
    </row>
    <row r="103" spans="1:4" ht="15" customHeight="1">
      <c r="A103" s="3" t="s">
        <v>222</v>
      </c>
      <c r="B103" s="3">
        <v>32958760</v>
      </c>
      <c r="C103" s="3" t="s">
        <v>244</v>
      </c>
      <c r="D103" t="str">
        <f>VLOOKUP(A103,_HGNC_REF!$A$2:$C$108,3,FALSE())</f>
        <v>HGNC:6018</v>
      </c>
    </row>
    <row r="104" spans="1:4" ht="15" customHeight="1">
      <c r="A104" s="3" t="s">
        <v>224</v>
      </c>
      <c r="B104" s="3">
        <v>32958760</v>
      </c>
      <c r="C104" s="3" t="s">
        <v>244</v>
      </c>
      <c r="D104" t="str">
        <f>VLOOKUP(A104,_HGNC_REF!$A$2:$C$108,3,FALSE())</f>
        <v>HGNC:6025</v>
      </c>
    </row>
    <row r="105" spans="1:4" ht="15" customHeight="1">
      <c r="A105" s="3" t="s">
        <v>226</v>
      </c>
      <c r="B105" s="3">
        <v>24186934</v>
      </c>
      <c r="C105" s="3" t="s">
        <v>244</v>
      </c>
      <c r="D105" t="str">
        <f>VLOOKUP(A105,_HGNC_REF!$A$2:$C$108,3,FALSE())</f>
        <v>HGNC:7176</v>
      </c>
    </row>
    <row r="106" spans="1:4" ht="15" customHeight="1">
      <c r="A106" s="3" t="s">
        <v>229</v>
      </c>
      <c r="B106" s="3">
        <v>32958760</v>
      </c>
      <c r="C106" s="3" t="s">
        <v>244</v>
      </c>
      <c r="D106" t="str">
        <f>VLOOKUP(A106,_HGNC_REF!$A$2:$C$108,3,FALSE())</f>
        <v>HGNC:7873</v>
      </c>
    </row>
    <row r="107" spans="1:4" ht="15" customHeight="1">
      <c r="A107" s="3" t="s">
        <v>231</v>
      </c>
      <c r="B107" s="3">
        <v>31036962</v>
      </c>
      <c r="C107" s="3" t="s">
        <v>244</v>
      </c>
      <c r="D107" t="str">
        <f>VLOOKUP(A107,_HGNC_REF!$A$2:$C$108,3,FALSE())</f>
        <v>HGNC:16400</v>
      </c>
    </row>
    <row r="108" spans="1:4" ht="15" customHeight="1">
      <c r="A108" s="3" t="s">
        <v>234</v>
      </c>
      <c r="B108" s="3">
        <v>31036962</v>
      </c>
      <c r="C108" s="3" t="s">
        <v>244</v>
      </c>
      <c r="D108" t="str">
        <f>VLOOKUP(A108,_HGNC_REF!$A$2:$C$108,3,FALSE())</f>
        <v>HGNC:1499</v>
      </c>
    </row>
    <row r="109" spans="1:4" ht="15" customHeight="1">
      <c r="A109" s="3" t="s">
        <v>236</v>
      </c>
      <c r="B109" s="3">
        <v>29880500</v>
      </c>
      <c r="C109" s="3" t="s">
        <v>244</v>
      </c>
      <c r="D109" t="str">
        <f>VLOOKUP(A109,_HGNC_REF!$A$2:$C$108,3,FALSE())</f>
        <v>HGNC:5986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workbookViewId="0"/>
  </sheetViews>
  <sheetFormatPr baseColWidth="10" defaultColWidth="8.6640625" defaultRowHeight="15"/>
  <cols>
    <col min="1" max="1" width="12" customWidth="1"/>
    <col min="2" max="2" width="48" customWidth="1"/>
    <col min="3" max="3" width="65" customWidth="1"/>
    <col min="4" max="4" width="12" customWidth="1"/>
  </cols>
  <sheetData>
    <row r="1" spans="1:4" ht="15" customHeight="1">
      <c r="A1" s="1" t="s">
        <v>1</v>
      </c>
      <c r="B1" s="1" t="s">
        <v>2</v>
      </c>
      <c r="C1" s="1" t="s">
        <v>268</v>
      </c>
      <c r="D1" s="1" t="s">
        <v>269</v>
      </c>
    </row>
    <row r="2" spans="1:4" ht="15" customHeight="1">
      <c r="A2" s="4" t="s">
        <v>270</v>
      </c>
      <c r="B2" s="4" t="s">
        <v>144</v>
      </c>
      <c r="C2" s="4" t="s">
        <v>271</v>
      </c>
      <c r="D2" s="4">
        <v>21</v>
      </c>
    </row>
    <row r="3" spans="1:4" ht="15" customHeight="1">
      <c r="A3" s="4" t="s">
        <v>272</v>
      </c>
      <c r="B3" s="4" t="s">
        <v>15</v>
      </c>
      <c r="C3" s="4" t="s">
        <v>273</v>
      </c>
      <c r="D3" s="4">
        <v>17</v>
      </c>
    </row>
    <row r="4" spans="1:4" ht="15" customHeight="1">
      <c r="A4" s="4" t="s">
        <v>274</v>
      </c>
      <c r="B4" s="4" t="s">
        <v>52</v>
      </c>
      <c r="C4" s="4" t="s">
        <v>275</v>
      </c>
      <c r="D4" s="4">
        <v>16</v>
      </c>
    </row>
    <row r="5" spans="1:4" ht="15" customHeight="1">
      <c r="A5" s="4" t="s">
        <v>276</v>
      </c>
      <c r="B5" s="4" t="s">
        <v>208</v>
      </c>
      <c r="C5" s="4" t="s">
        <v>277</v>
      </c>
      <c r="D5" s="4">
        <v>10</v>
      </c>
    </row>
    <row r="6" spans="1:4" ht="15" customHeight="1">
      <c r="A6" s="4" t="s">
        <v>278</v>
      </c>
      <c r="B6" s="4" t="s">
        <v>98</v>
      </c>
      <c r="C6" s="4" t="s">
        <v>279</v>
      </c>
      <c r="D6" s="4">
        <v>9</v>
      </c>
    </row>
    <row r="7" spans="1:4" ht="15" customHeight="1">
      <c r="A7" s="4" t="s">
        <v>280</v>
      </c>
      <c r="B7" s="4" t="s">
        <v>6</v>
      </c>
      <c r="C7" s="4" t="s">
        <v>281</v>
      </c>
      <c r="D7" s="4">
        <v>8</v>
      </c>
    </row>
    <row r="8" spans="1:4" ht="15" customHeight="1">
      <c r="A8" s="4" t="s">
        <v>282</v>
      </c>
      <c r="B8" s="4" t="s">
        <v>103</v>
      </c>
      <c r="C8" s="4" t="s">
        <v>283</v>
      </c>
      <c r="D8" s="4">
        <v>8</v>
      </c>
    </row>
    <row r="9" spans="1:4" ht="15" customHeight="1">
      <c r="A9" s="4" t="s">
        <v>284</v>
      </c>
      <c r="B9" s="4" t="s">
        <v>169</v>
      </c>
      <c r="C9" s="4" t="s">
        <v>285</v>
      </c>
      <c r="D9" s="4">
        <v>6</v>
      </c>
    </row>
    <row r="10" spans="1:4" ht="15" customHeight="1">
      <c r="A10" s="4" t="s">
        <v>286</v>
      </c>
      <c r="B10" s="4" t="s">
        <v>200</v>
      </c>
      <c r="C10" s="4" t="s">
        <v>287</v>
      </c>
      <c r="D10" s="4">
        <v>2</v>
      </c>
    </row>
    <row r="11" spans="1:4" ht="15" customHeight="1">
      <c r="A11" s="4" t="s">
        <v>288</v>
      </c>
      <c r="B11" s="4" t="s">
        <v>232</v>
      </c>
      <c r="C11" s="4" t="s">
        <v>289</v>
      </c>
      <c r="D11" s="4">
        <v>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zoomScaleNormal="100" workbookViewId="0"/>
  </sheetViews>
  <sheetFormatPr baseColWidth="10" defaultColWidth="8.6640625" defaultRowHeight="15"/>
  <sheetData>
    <row r="1" spans="1:5" ht="15" customHeight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 spans="1:5" ht="15" customHeight="1">
      <c r="A2" t="s">
        <v>5</v>
      </c>
      <c r="B2" t="s">
        <v>5</v>
      </c>
      <c r="C2" t="s">
        <v>295</v>
      </c>
      <c r="D2" t="s">
        <v>296</v>
      </c>
      <c r="E2" t="s">
        <v>297</v>
      </c>
    </row>
    <row r="3" spans="1:5" ht="15" customHeight="1">
      <c r="A3" t="s">
        <v>8</v>
      </c>
      <c r="B3" t="s">
        <v>8</v>
      </c>
      <c r="C3" t="s">
        <v>298</v>
      </c>
      <c r="D3" t="s">
        <v>299</v>
      </c>
      <c r="E3" t="s">
        <v>300</v>
      </c>
    </row>
    <row r="4" spans="1:5" ht="15" customHeight="1">
      <c r="A4" t="s">
        <v>10</v>
      </c>
      <c r="B4" t="s">
        <v>10</v>
      </c>
      <c r="C4" t="s">
        <v>301</v>
      </c>
      <c r="D4" t="s">
        <v>302</v>
      </c>
      <c r="E4" t="s">
        <v>303</v>
      </c>
    </row>
    <row r="5" spans="1:5" ht="15" customHeight="1">
      <c r="A5" t="s">
        <v>12</v>
      </c>
      <c r="B5" t="s">
        <v>12</v>
      </c>
      <c r="C5" t="s">
        <v>304</v>
      </c>
      <c r="D5" t="s">
        <v>305</v>
      </c>
      <c r="E5" t="s">
        <v>306</v>
      </c>
    </row>
    <row r="6" spans="1:5" ht="15" customHeight="1">
      <c r="A6" t="s">
        <v>14</v>
      </c>
      <c r="B6" t="s">
        <v>14</v>
      </c>
      <c r="C6" t="s">
        <v>307</v>
      </c>
      <c r="D6" t="s">
        <v>308</v>
      </c>
      <c r="E6" t="s">
        <v>309</v>
      </c>
    </row>
    <row r="7" spans="1:5" ht="15" customHeight="1">
      <c r="A7" t="s">
        <v>17</v>
      </c>
      <c r="B7" t="s">
        <v>17</v>
      </c>
      <c r="C7" t="s">
        <v>310</v>
      </c>
      <c r="D7" t="s">
        <v>311</v>
      </c>
      <c r="E7" t="s">
        <v>312</v>
      </c>
    </row>
    <row r="8" spans="1:5" ht="15" customHeight="1">
      <c r="A8" t="s">
        <v>19</v>
      </c>
      <c r="B8" t="s">
        <v>19</v>
      </c>
      <c r="C8" t="s">
        <v>313</v>
      </c>
      <c r="D8" t="s">
        <v>314</v>
      </c>
      <c r="E8" t="s">
        <v>315</v>
      </c>
    </row>
    <row r="9" spans="1:5" ht="15" customHeight="1">
      <c r="A9" t="s">
        <v>21</v>
      </c>
      <c r="B9" t="s">
        <v>21</v>
      </c>
      <c r="C9" t="s">
        <v>316</v>
      </c>
      <c r="D9" t="s">
        <v>317</v>
      </c>
      <c r="E9" t="s">
        <v>318</v>
      </c>
    </row>
    <row r="10" spans="1:5" ht="15" customHeight="1">
      <c r="A10" t="s">
        <v>23</v>
      </c>
      <c r="B10" t="s">
        <v>23</v>
      </c>
      <c r="C10" t="s">
        <v>319</v>
      </c>
      <c r="D10" t="s">
        <v>320</v>
      </c>
      <c r="E10" t="s">
        <v>321</v>
      </c>
    </row>
    <row r="11" spans="1:5" ht="15" customHeight="1">
      <c r="A11" t="s">
        <v>25</v>
      </c>
      <c r="B11" t="s">
        <v>25</v>
      </c>
      <c r="C11" t="s">
        <v>322</v>
      </c>
      <c r="D11" t="s">
        <v>323</v>
      </c>
      <c r="E11" t="s">
        <v>324</v>
      </c>
    </row>
    <row r="12" spans="1:5" ht="15" customHeight="1">
      <c r="A12" t="s">
        <v>27</v>
      </c>
      <c r="B12" t="s">
        <v>27</v>
      </c>
      <c r="C12" t="s">
        <v>325</v>
      </c>
      <c r="D12" t="s">
        <v>326</v>
      </c>
      <c r="E12" t="s">
        <v>327</v>
      </c>
    </row>
    <row r="13" spans="1:5" ht="15" customHeight="1">
      <c r="A13" t="s">
        <v>29</v>
      </c>
      <c r="B13" t="s">
        <v>29</v>
      </c>
      <c r="C13" t="s">
        <v>328</v>
      </c>
      <c r="D13" t="s">
        <v>329</v>
      </c>
      <c r="E13" t="s">
        <v>330</v>
      </c>
    </row>
    <row r="14" spans="1:5" ht="15" customHeight="1">
      <c r="A14" t="s">
        <v>31</v>
      </c>
      <c r="B14" t="s">
        <v>31</v>
      </c>
      <c r="C14" t="s">
        <v>331</v>
      </c>
      <c r="D14" t="s">
        <v>332</v>
      </c>
      <c r="E14" t="s">
        <v>333</v>
      </c>
    </row>
    <row r="15" spans="1:5" ht="15" customHeight="1">
      <c r="A15" t="s">
        <v>33</v>
      </c>
      <c r="B15" t="s">
        <v>33</v>
      </c>
      <c r="C15" t="s">
        <v>334</v>
      </c>
      <c r="D15" t="s">
        <v>335</v>
      </c>
      <c r="E15" t="s">
        <v>336</v>
      </c>
    </row>
    <row r="16" spans="1:5" ht="15" customHeight="1">
      <c r="A16" t="s">
        <v>35</v>
      </c>
      <c r="B16" t="s">
        <v>35</v>
      </c>
      <c r="C16" t="s">
        <v>337</v>
      </c>
      <c r="D16" t="s">
        <v>338</v>
      </c>
      <c r="E16" t="s">
        <v>339</v>
      </c>
    </row>
    <row r="17" spans="1:5" ht="15" customHeight="1">
      <c r="A17" t="s">
        <v>37</v>
      </c>
      <c r="B17" t="s">
        <v>37</v>
      </c>
      <c r="C17" t="s">
        <v>340</v>
      </c>
      <c r="D17" t="s">
        <v>341</v>
      </c>
      <c r="E17" t="s">
        <v>342</v>
      </c>
    </row>
    <row r="18" spans="1:5" ht="15" customHeight="1">
      <c r="A18" t="s">
        <v>39</v>
      </c>
      <c r="B18" t="s">
        <v>39</v>
      </c>
      <c r="C18" t="s">
        <v>343</v>
      </c>
      <c r="D18" t="s">
        <v>344</v>
      </c>
      <c r="E18" t="s">
        <v>345</v>
      </c>
    </row>
    <row r="19" spans="1:5" ht="15" customHeight="1">
      <c r="A19" t="s">
        <v>41</v>
      </c>
      <c r="B19" t="s">
        <v>41</v>
      </c>
      <c r="C19" t="s">
        <v>346</v>
      </c>
      <c r="D19" t="s">
        <v>347</v>
      </c>
      <c r="E19" t="s">
        <v>324</v>
      </c>
    </row>
    <row r="20" spans="1:5" ht="15" customHeight="1">
      <c r="A20" t="s">
        <v>43</v>
      </c>
      <c r="B20" t="s">
        <v>43</v>
      </c>
      <c r="C20" t="s">
        <v>348</v>
      </c>
      <c r="D20" t="s">
        <v>349</v>
      </c>
      <c r="E20" t="s">
        <v>350</v>
      </c>
    </row>
    <row r="21" spans="1:5" ht="15" customHeight="1">
      <c r="A21" t="s">
        <v>45</v>
      </c>
      <c r="B21" t="s">
        <v>45</v>
      </c>
      <c r="C21" t="s">
        <v>351</v>
      </c>
      <c r="D21" t="s">
        <v>352</v>
      </c>
      <c r="E21" t="s">
        <v>353</v>
      </c>
    </row>
    <row r="22" spans="1:5" ht="15" customHeight="1">
      <c r="A22" t="s">
        <v>47</v>
      </c>
      <c r="B22" t="s">
        <v>47</v>
      </c>
      <c r="C22" t="s">
        <v>354</v>
      </c>
      <c r="D22" t="s">
        <v>355</v>
      </c>
      <c r="E22" t="s">
        <v>356</v>
      </c>
    </row>
    <row r="23" spans="1:5" ht="15" customHeight="1">
      <c r="A23" t="s">
        <v>49</v>
      </c>
      <c r="B23" t="s">
        <v>49</v>
      </c>
      <c r="C23" t="s">
        <v>357</v>
      </c>
      <c r="D23" t="s">
        <v>358</v>
      </c>
      <c r="E23" t="s">
        <v>359</v>
      </c>
    </row>
    <row r="24" spans="1:5" ht="15" customHeight="1">
      <c r="A24" t="s">
        <v>94</v>
      </c>
      <c r="B24" t="s">
        <v>94</v>
      </c>
      <c r="C24" t="s">
        <v>360</v>
      </c>
      <c r="D24" t="s">
        <v>361</v>
      </c>
      <c r="E24" t="s">
        <v>345</v>
      </c>
    </row>
    <row r="25" spans="1:5" ht="15" customHeight="1">
      <c r="A25" t="s">
        <v>97</v>
      </c>
      <c r="B25" t="s">
        <v>97</v>
      </c>
      <c r="C25" t="s">
        <v>362</v>
      </c>
      <c r="D25" t="s">
        <v>363</v>
      </c>
      <c r="E25" t="s">
        <v>364</v>
      </c>
    </row>
    <row r="26" spans="1:5" ht="15" customHeight="1">
      <c r="A26" t="s">
        <v>100</v>
      </c>
      <c r="B26" t="s">
        <v>100</v>
      </c>
      <c r="C26" t="s">
        <v>365</v>
      </c>
      <c r="D26" t="s">
        <v>366</v>
      </c>
      <c r="E26" t="s">
        <v>364</v>
      </c>
    </row>
    <row r="27" spans="1:5" ht="15" customHeight="1">
      <c r="A27" t="s">
        <v>102</v>
      </c>
      <c r="B27" t="s">
        <v>102</v>
      </c>
      <c r="C27" t="s">
        <v>367</v>
      </c>
      <c r="D27" t="s">
        <v>368</v>
      </c>
      <c r="E27" t="s">
        <v>369</v>
      </c>
    </row>
    <row r="28" spans="1:5" ht="15" customHeight="1">
      <c r="A28" t="s">
        <v>105</v>
      </c>
      <c r="B28" t="s">
        <v>105</v>
      </c>
      <c r="C28" t="s">
        <v>370</v>
      </c>
      <c r="D28" t="s">
        <v>371</v>
      </c>
      <c r="E28" t="s">
        <v>372</v>
      </c>
    </row>
    <row r="29" spans="1:5" ht="15" customHeight="1">
      <c r="A29" t="s">
        <v>107</v>
      </c>
      <c r="B29" t="s">
        <v>107</v>
      </c>
      <c r="C29" t="s">
        <v>373</v>
      </c>
      <c r="D29" t="s">
        <v>374</v>
      </c>
      <c r="E29" t="s">
        <v>375</v>
      </c>
    </row>
    <row r="30" spans="1:5" ht="15" customHeight="1">
      <c r="A30" t="s">
        <v>109</v>
      </c>
      <c r="B30" t="s">
        <v>109</v>
      </c>
      <c r="C30" t="s">
        <v>376</v>
      </c>
      <c r="D30" t="s">
        <v>377</v>
      </c>
      <c r="E30" t="s">
        <v>378</v>
      </c>
    </row>
    <row r="31" spans="1:5" ht="15" customHeight="1">
      <c r="A31" t="s">
        <v>111</v>
      </c>
      <c r="B31" t="s">
        <v>111</v>
      </c>
      <c r="C31" t="s">
        <v>379</v>
      </c>
      <c r="D31" t="s">
        <v>380</v>
      </c>
      <c r="E31" t="s">
        <v>381</v>
      </c>
    </row>
    <row r="32" spans="1:5" ht="15" customHeight="1">
      <c r="A32" t="s">
        <v>113</v>
      </c>
      <c r="B32" t="s">
        <v>113</v>
      </c>
      <c r="C32" t="s">
        <v>382</v>
      </c>
      <c r="D32" t="s">
        <v>383</v>
      </c>
      <c r="E32" t="s">
        <v>384</v>
      </c>
    </row>
    <row r="33" spans="1:5" ht="15" customHeight="1">
      <c r="A33" t="s">
        <v>115</v>
      </c>
      <c r="B33" t="s">
        <v>115</v>
      </c>
      <c r="C33" t="s">
        <v>385</v>
      </c>
      <c r="D33" t="s">
        <v>386</v>
      </c>
      <c r="E33" t="s">
        <v>356</v>
      </c>
    </row>
    <row r="34" spans="1:5" ht="15" customHeight="1">
      <c r="A34" t="s">
        <v>117</v>
      </c>
      <c r="B34" t="s">
        <v>117</v>
      </c>
      <c r="C34" t="s">
        <v>387</v>
      </c>
      <c r="D34" t="s">
        <v>388</v>
      </c>
      <c r="E34" t="s">
        <v>318</v>
      </c>
    </row>
    <row r="35" spans="1:5" ht="15" customHeight="1">
      <c r="A35" t="s">
        <v>119</v>
      </c>
      <c r="B35" t="s">
        <v>119</v>
      </c>
      <c r="C35" t="s">
        <v>389</v>
      </c>
      <c r="D35" t="s">
        <v>390</v>
      </c>
      <c r="E35" t="s">
        <v>391</v>
      </c>
    </row>
    <row r="36" spans="1:5" ht="15" customHeight="1">
      <c r="A36" t="s">
        <v>121</v>
      </c>
      <c r="B36" t="s">
        <v>121</v>
      </c>
      <c r="C36" t="s">
        <v>392</v>
      </c>
      <c r="D36" t="s">
        <v>393</v>
      </c>
      <c r="E36" t="s">
        <v>394</v>
      </c>
    </row>
    <row r="37" spans="1:5" ht="15" customHeight="1">
      <c r="A37" t="s">
        <v>123</v>
      </c>
      <c r="B37" t="s">
        <v>123</v>
      </c>
      <c r="C37" t="s">
        <v>395</v>
      </c>
      <c r="D37" t="s">
        <v>396</v>
      </c>
      <c r="E37" t="s">
        <v>397</v>
      </c>
    </row>
    <row r="38" spans="1:5" ht="15" customHeight="1">
      <c r="A38" t="s">
        <v>78</v>
      </c>
      <c r="B38" t="s">
        <v>78</v>
      </c>
      <c r="C38" t="s">
        <v>398</v>
      </c>
      <c r="D38" t="s">
        <v>399</v>
      </c>
      <c r="E38" t="s">
        <v>400</v>
      </c>
    </row>
    <row r="39" spans="1:5" ht="15" customHeight="1">
      <c r="A39" t="s">
        <v>126</v>
      </c>
      <c r="B39" t="s">
        <v>126</v>
      </c>
      <c r="C39" t="s">
        <v>401</v>
      </c>
      <c r="D39" t="s">
        <v>402</v>
      </c>
      <c r="E39" t="s">
        <v>403</v>
      </c>
    </row>
    <row r="40" spans="1:5" ht="15" customHeight="1">
      <c r="A40" t="s">
        <v>129</v>
      </c>
      <c r="B40" t="s">
        <v>129</v>
      </c>
      <c r="C40" t="s">
        <v>404</v>
      </c>
      <c r="D40" t="s">
        <v>405</v>
      </c>
      <c r="E40" t="s">
        <v>406</v>
      </c>
    </row>
    <row r="41" spans="1:5" ht="15" customHeight="1">
      <c r="A41" t="s">
        <v>131</v>
      </c>
      <c r="B41" t="s">
        <v>131</v>
      </c>
      <c r="C41" t="s">
        <v>407</v>
      </c>
      <c r="D41" t="s">
        <v>408</v>
      </c>
      <c r="E41" t="s">
        <v>409</v>
      </c>
    </row>
    <row r="42" spans="1:5" ht="15" customHeight="1">
      <c r="A42" t="s">
        <v>133</v>
      </c>
      <c r="B42" t="s">
        <v>133</v>
      </c>
      <c r="C42" t="s">
        <v>410</v>
      </c>
      <c r="D42" t="s">
        <v>411</v>
      </c>
      <c r="E42" t="s">
        <v>412</v>
      </c>
    </row>
    <row r="43" spans="1:5" ht="15" customHeight="1">
      <c r="A43" t="s">
        <v>135</v>
      </c>
      <c r="B43" t="s">
        <v>135</v>
      </c>
      <c r="C43" t="s">
        <v>413</v>
      </c>
      <c r="D43" t="s">
        <v>414</v>
      </c>
      <c r="E43" t="s">
        <v>415</v>
      </c>
    </row>
    <row r="44" spans="1:5" ht="15" customHeight="1">
      <c r="A44" t="s">
        <v>138</v>
      </c>
      <c r="B44" t="s">
        <v>138</v>
      </c>
      <c r="C44" t="s">
        <v>416</v>
      </c>
      <c r="D44" t="s">
        <v>417</v>
      </c>
      <c r="E44" t="s">
        <v>418</v>
      </c>
    </row>
    <row r="45" spans="1:5" ht="15" customHeight="1">
      <c r="A45" t="s">
        <v>141</v>
      </c>
      <c r="B45" t="s">
        <v>141</v>
      </c>
      <c r="C45" t="s">
        <v>419</v>
      </c>
      <c r="D45" t="s">
        <v>420</v>
      </c>
      <c r="E45" t="s">
        <v>364</v>
      </c>
    </row>
    <row r="46" spans="1:5" ht="15" customHeight="1">
      <c r="A46" t="s">
        <v>51</v>
      </c>
      <c r="B46" t="s">
        <v>51</v>
      </c>
      <c r="C46" t="s">
        <v>421</v>
      </c>
      <c r="D46" t="s">
        <v>422</v>
      </c>
      <c r="E46" t="s">
        <v>423</v>
      </c>
    </row>
    <row r="47" spans="1:5" ht="15" customHeight="1">
      <c r="A47" t="s">
        <v>54</v>
      </c>
      <c r="B47" t="s">
        <v>54</v>
      </c>
      <c r="C47" t="s">
        <v>424</v>
      </c>
      <c r="D47" t="s">
        <v>425</v>
      </c>
      <c r="E47" t="s">
        <v>426</v>
      </c>
    </row>
    <row r="48" spans="1:5" ht="15" customHeight="1">
      <c r="A48" t="s">
        <v>56</v>
      </c>
      <c r="B48" t="s">
        <v>56</v>
      </c>
      <c r="C48" t="s">
        <v>427</v>
      </c>
      <c r="D48" t="s">
        <v>428</v>
      </c>
      <c r="E48" t="s">
        <v>429</v>
      </c>
    </row>
    <row r="49" spans="1:5" ht="15" customHeight="1">
      <c r="A49" t="s">
        <v>58</v>
      </c>
      <c r="B49" t="s">
        <v>58</v>
      </c>
      <c r="C49" t="s">
        <v>430</v>
      </c>
      <c r="D49" t="s">
        <v>431</v>
      </c>
      <c r="E49" t="s">
        <v>432</v>
      </c>
    </row>
    <row r="50" spans="1:5" ht="15" customHeight="1">
      <c r="A50" t="s">
        <v>60</v>
      </c>
      <c r="B50" t="s">
        <v>60</v>
      </c>
      <c r="C50" t="s">
        <v>433</v>
      </c>
      <c r="D50" t="s">
        <v>434</v>
      </c>
      <c r="E50" t="s">
        <v>435</v>
      </c>
    </row>
    <row r="51" spans="1:5" ht="15" customHeight="1">
      <c r="A51" t="s">
        <v>62</v>
      </c>
      <c r="B51" t="s">
        <v>62</v>
      </c>
      <c r="C51" t="s">
        <v>436</v>
      </c>
      <c r="D51" t="s">
        <v>437</v>
      </c>
      <c r="E51" t="s">
        <v>438</v>
      </c>
    </row>
    <row r="52" spans="1:5" ht="15" customHeight="1">
      <c r="A52" t="s">
        <v>64</v>
      </c>
      <c r="B52" t="s">
        <v>64</v>
      </c>
      <c r="C52" t="s">
        <v>439</v>
      </c>
      <c r="D52" t="s">
        <v>440</v>
      </c>
      <c r="E52" t="s">
        <v>441</v>
      </c>
    </row>
    <row r="53" spans="1:5" ht="15" customHeight="1">
      <c r="A53" t="s">
        <v>66</v>
      </c>
      <c r="B53" t="s">
        <v>66</v>
      </c>
      <c r="C53" t="s">
        <v>442</v>
      </c>
      <c r="D53" t="s">
        <v>443</v>
      </c>
      <c r="E53" t="s">
        <v>444</v>
      </c>
    </row>
    <row r="54" spans="1:5" ht="15" customHeight="1">
      <c r="A54" t="s">
        <v>68</v>
      </c>
      <c r="B54" t="s">
        <v>68</v>
      </c>
      <c r="C54" t="s">
        <v>445</v>
      </c>
      <c r="D54" t="s">
        <v>446</v>
      </c>
      <c r="E54" t="s">
        <v>372</v>
      </c>
    </row>
    <row r="55" spans="1:5" ht="15" customHeight="1">
      <c r="A55" t="s">
        <v>70</v>
      </c>
      <c r="B55" t="s">
        <v>70</v>
      </c>
      <c r="C55" t="s">
        <v>447</v>
      </c>
      <c r="D55" t="s">
        <v>448</v>
      </c>
      <c r="E55" t="s">
        <v>449</v>
      </c>
    </row>
    <row r="56" spans="1:5" ht="15" customHeight="1">
      <c r="A56" t="s">
        <v>72</v>
      </c>
      <c r="B56" t="s">
        <v>72</v>
      </c>
      <c r="C56" t="s">
        <v>450</v>
      </c>
      <c r="D56" t="s">
        <v>451</v>
      </c>
      <c r="E56" t="s">
        <v>452</v>
      </c>
    </row>
    <row r="57" spans="1:5" ht="15" customHeight="1">
      <c r="A57" t="s">
        <v>74</v>
      </c>
      <c r="B57" t="s">
        <v>74</v>
      </c>
      <c r="C57" t="s">
        <v>453</v>
      </c>
      <c r="D57" t="s">
        <v>454</v>
      </c>
      <c r="E57" t="s">
        <v>455</v>
      </c>
    </row>
    <row r="58" spans="1:5" ht="15" customHeight="1">
      <c r="A58" t="s">
        <v>76</v>
      </c>
      <c r="B58" t="s">
        <v>76</v>
      </c>
      <c r="C58" t="s">
        <v>456</v>
      </c>
      <c r="D58" t="s">
        <v>457</v>
      </c>
      <c r="E58" t="s">
        <v>458</v>
      </c>
    </row>
    <row r="59" spans="1:5" ht="15" customHeight="1">
      <c r="A59" t="s">
        <v>80</v>
      </c>
      <c r="B59" t="s">
        <v>80</v>
      </c>
      <c r="C59" t="s">
        <v>459</v>
      </c>
      <c r="D59" t="s">
        <v>460</v>
      </c>
      <c r="E59" t="s">
        <v>461</v>
      </c>
    </row>
    <row r="60" spans="1:5" ht="15" customHeight="1">
      <c r="A60" t="s">
        <v>82</v>
      </c>
      <c r="B60" t="s">
        <v>82</v>
      </c>
      <c r="C60" t="s">
        <v>462</v>
      </c>
      <c r="D60" t="s">
        <v>463</v>
      </c>
      <c r="E60" t="s">
        <v>464</v>
      </c>
    </row>
    <row r="61" spans="1:5" ht="15" customHeight="1">
      <c r="A61" t="s">
        <v>84</v>
      </c>
      <c r="B61" t="s">
        <v>84</v>
      </c>
      <c r="C61" t="s">
        <v>465</v>
      </c>
      <c r="D61" t="s">
        <v>466</v>
      </c>
      <c r="E61" t="s">
        <v>467</v>
      </c>
    </row>
    <row r="62" spans="1:5" ht="15" customHeight="1">
      <c r="A62" t="s">
        <v>86</v>
      </c>
      <c r="B62" t="s">
        <v>86</v>
      </c>
      <c r="C62" t="s">
        <v>468</v>
      </c>
      <c r="D62" t="s">
        <v>469</v>
      </c>
      <c r="E62" t="s">
        <v>470</v>
      </c>
    </row>
    <row r="63" spans="1:5" ht="15" customHeight="1">
      <c r="A63" t="s">
        <v>88</v>
      </c>
      <c r="B63" t="s">
        <v>88</v>
      </c>
      <c r="C63" t="s">
        <v>471</v>
      </c>
      <c r="D63" t="s">
        <v>472</v>
      </c>
      <c r="E63" t="s">
        <v>473</v>
      </c>
    </row>
    <row r="64" spans="1:5" ht="15" customHeight="1">
      <c r="A64" t="s">
        <v>91</v>
      </c>
      <c r="B64" t="s">
        <v>91</v>
      </c>
      <c r="C64" t="s">
        <v>474</v>
      </c>
      <c r="D64" t="s">
        <v>475</v>
      </c>
      <c r="E64" t="s">
        <v>476</v>
      </c>
    </row>
    <row r="65" spans="1:5" ht="15" customHeight="1">
      <c r="A65" t="s">
        <v>143</v>
      </c>
      <c r="B65" t="s">
        <v>143</v>
      </c>
      <c r="C65" t="s">
        <v>477</v>
      </c>
      <c r="D65" t="s">
        <v>478</v>
      </c>
      <c r="E65" t="s">
        <v>479</v>
      </c>
    </row>
    <row r="66" spans="1:5" ht="15" customHeight="1">
      <c r="A66" t="s">
        <v>146</v>
      </c>
      <c r="B66" t="s">
        <v>146</v>
      </c>
      <c r="C66" t="s">
        <v>480</v>
      </c>
      <c r="D66" t="s">
        <v>481</v>
      </c>
      <c r="E66" t="s">
        <v>479</v>
      </c>
    </row>
    <row r="67" spans="1:5" ht="15" customHeight="1">
      <c r="A67" t="s">
        <v>148</v>
      </c>
      <c r="B67" t="s">
        <v>148</v>
      </c>
      <c r="C67" t="s">
        <v>482</v>
      </c>
      <c r="D67" t="s">
        <v>483</v>
      </c>
      <c r="E67" t="s">
        <v>432</v>
      </c>
    </row>
    <row r="68" spans="1:5" ht="15" customHeight="1">
      <c r="A68" t="s">
        <v>150</v>
      </c>
      <c r="B68" t="s">
        <v>150</v>
      </c>
      <c r="C68" t="s">
        <v>484</v>
      </c>
      <c r="D68" t="s">
        <v>485</v>
      </c>
      <c r="E68" t="s">
        <v>486</v>
      </c>
    </row>
    <row r="69" spans="1:5" ht="15" customHeight="1">
      <c r="A69" t="s">
        <v>152</v>
      </c>
      <c r="B69" t="s">
        <v>152</v>
      </c>
      <c r="C69" t="s">
        <v>487</v>
      </c>
      <c r="D69" t="s">
        <v>488</v>
      </c>
      <c r="E69" t="s">
        <v>489</v>
      </c>
    </row>
    <row r="70" spans="1:5" ht="15" customHeight="1">
      <c r="A70" t="s">
        <v>154</v>
      </c>
      <c r="B70" t="s">
        <v>154</v>
      </c>
      <c r="C70" t="s">
        <v>490</v>
      </c>
      <c r="D70" t="s">
        <v>491</v>
      </c>
      <c r="E70" t="s">
        <v>492</v>
      </c>
    </row>
    <row r="71" spans="1:5" ht="15" customHeight="1">
      <c r="A71" t="s">
        <v>156</v>
      </c>
      <c r="B71" t="s">
        <v>156</v>
      </c>
      <c r="C71" t="s">
        <v>493</v>
      </c>
      <c r="D71" t="s">
        <v>494</v>
      </c>
      <c r="E71" t="s">
        <v>495</v>
      </c>
    </row>
    <row r="72" spans="1:5" ht="15" customHeight="1">
      <c r="A72" t="s">
        <v>158</v>
      </c>
      <c r="B72" t="s">
        <v>158</v>
      </c>
      <c r="C72" t="s">
        <v>496</v>
      </c>
      <c r="D72" t="s">
        <v>497</v>
      </c>
      <c r="E72" t="s">
        <v>498</v>
      </c>
    </row>
    <row r="73" spans="1:5" ht="15" customHeight="1">
      <c r="A73" t="s">
        <v>160</v>
      </c>
      <c r="B73" t="s">
        <v>160</v>
      </c>
      <c r="C73" t="s">
        <v>499</v>
      </c>
      <c r="D73" t="s">
        <v>500</v>
      </c>
      <c r="E73" t="s">
        <v>501</v>
      </c>
    </row>
    <row r="74" spans="1:5" ht="15" customHeight="1">
      <c r="A74" t="s">
        <v>162</v>
      </c>
      <c r="B74" t="s">
        <v>162</v>
      </c>
      <c r="C74" t="s">
        <v>502</v>
      </c>
      <c r="D74" t="s">
        <v>503</v>
      </c>
      <c r="E74" t="s">
        <v>498</v>
      </c>
    </row>
    <row r="75" spans="1:5" ht="15" customHeight="1">
      <c r="A75" t="s">
        <v>164</v>
      </c>
      <c r="B75" t="s">
        <v>164</v>
      </c>
      <c r="C75" t="s">
        <v>504</v>
      </c>
      <c r="D75" t="s">
        <v>505</v>
      </c>
      <c r="E75" t="s">
        <v>506</v>
      </c>
    </row>
    <row r="76" spans="1:5" ht="15" customHeight="1">
      <c r="A76" t="s">
        <v>166</v>
      </c>
      <c r="B76" t="s">
        <v>166</v>
      </c>
      <c r="C76" t="s">
        <v>507</v>
      </c>
      <c r="D76" t="s">
        <v>508</v>
      </c>
      <c r="E76" t="s">
        <v>509</v>
      </c>
    </row>
    <row r="77" spans="1:5" ht="15" customHeight="1">
      <c r="A77" t="s">
        <v>168</v>
      </c>
      <c r="B77" t="s">
        <v>168</v>
      </c>
      <c r="C77" t="s">
        <v>510</v>
      </c>
      <c r="D77" t="s">
        <v>511</v>
      </c>
      <c r="E77" t="s">
        <v>512</v>
      </c>
    </row>
    <row r="78" spans="1:5" ht="15" customHeight="1">
      <c r="A78" t="s">
        <v>171</v>
      </c>
      <c r="B78" t="s">
        <v>171</v>
      </c>
      <c r="C78" t="s">
        <v>513</v>
      </c>
      <c r="D78" t="s">
        <v>514</v>
      </c>
      <c r="E78" t="s">
        <v>515</v>
      </c>
    </row>
    <row r="79" spans="1:5" ht="15" customHeight="1">
      <c r="A79" t="s">
        <v>173</v>
      </c>
      <c r="B79" t="s">
        <v>173</v>
      </c>
      <c r="C79" t="s">
        <v>516</v>
      </c>
      <c r="D79" t="s">
        <v>517</v>
      </c>
      <c r="E79" t="s">
        <v>518</v>
      </c>
    </row>
    <row r="80" spans="1:5" ht="15" customHeight="1">
      <c r="A80" t="s">
        <v>175</v>
      </c>
      <c r="B80" t="s">
        <v>175</v>
      </c>
      <c r="C80" t="s">
        <v>519</v>
      </c>
      <c r="D80" t="s">
        <v>520</v>
      </c>
      <c r="E80" t="s">
        <v>521</v>
      </c>
    </row>
    <row r="81" spans="1:5" ht="15" customHeight="1">
      <c r="A81" t="s">
        <v>177</v>
      </c>
      <c r="B81" t="s">
        <v>177</v>
      </c>
      <c r="C81" t="s">
        <v>522</v>
      </c>
      <c r="D81" t="s">
        <v>523</v>
      </c>
      <c r="E81" t="s">
        <v>524</v>
      </c>
    </row>
    <row r="82" spans="1:5" ht="15" customHeight="1">
      <c r="A82" t="s">
        <v>179</v>
      </c>
      <c r="B82" t="s">
        <v>179</v>
      </c>
      <c r="C82" t="s">
        <v>525</v>
      </c>
      <c r="D82" t="s">
        <v>526</v>
      </c>
      <c r="E82" t="s">
        <v>527</v>
      </c>
    </row>
    <row r="83" spans="1:5" ht="15" customHeight="1">
      <c r="A83" t="s">
        <v>181</v>
      </c>
      <c r="B83" t="s">
        <v>181</v>
      </c>
      <c r="C83" t="s">
        <v>528</v>
      </c>
      <c r="D83" t="s">
        <v>529</v>
      </c>
      <c r="E83" t="s">
        <v>530</v>
      </c>
    </row>
    <row r="84" spans="1:5" ht="15" customHeight="1">
      <c r="A84" t="s">
        <v>183</v>
      </c>
      <c r="B84" t="s">
        <v>183</v>
      </c>
      <c r="C84" t="s">
        <v>531</v>
      </c>
      <c r="D84" t="s">
        <v>532</v>
      </c>
      <c r="E84" t="s">
        <v>533</v>
      </c>
    </row>
    <row r="85" spans="1:5" ht="15" customHeight="1">
      <c r="A85" t="s">
        <v>185</v>
      </c>
      <c r="B85" t="s">
        <v>185</v>
      </c>
      <c r="C85" t="s">
        <v>534</v>
      </c>
      <c r="D85" t="s">
        <v>535</v>
      </c>
      <c r="E85" t="s">
        <v>536</v>
      </c>
    </row>
    <row r="86" spans="1:5" ht="15" customHeight="1">
      <c r="A86" t="s">
        <v>187</v>
      </c>
      <c r="B86" t="s">
        <v>187</v>
      </c>
      <c r="C86" t="s">
        <v>537</v>
      </c>
      <c r="D86" t="s">
        <v>538</v>
      </c>
      <c r="E86" t="s">
        <v>318</v>
      </c>
    </row>
    <row r="87" spans="1:5" ht="15" customHeight="1">
      <c r="A87" t="s">
        <v>189</v>
      </c>
      <c r="B87" t="s">
        <v>189</v>
      </c>
      <c r="C87" t="s">
        <v>539</v>
      </c>
      <c r="D87" t="s">
        <v>540</v>
      </c>
      <c r="E87" t="s">
        <v>541</v>
      </c>
    </row>
    <row r="88" spans="1:5" ht="15" customHeight="1">
      <c r="A88" t="s">
        <v>191</v>
      </c>
      <c r="B88" t="s">
        <v>191</v>
      </c>
      <c r="C88" t="s">
        <v>542</v>
      </c>
      <c r="D88" t="s">
        <v>543</v>
      </c>
      <c r="E88" t="s">
        <v>394</v>
      </c>
    </row>
    <row r="89" spans="1:5" ht="15" customHeight="1">
      <c r="A89" t="s">
        <v>193</v>
      </c>
      <c r="B89" t="s">
        <v>193</v>
      </c>
      <c r="C89" t="s">
        <v>544</v>
      </c>
      <c r="D89" t="s">
        <v>545</v>
      </c>
      <c r="E89" t="s">
        <v>546</v>
      </c>
    </row>
    <row r="90" spans="1:5" ht="15" customHeight="1">
      <c r="A90" t="s">
        <v>195</v>
      </c>
      <c r="B90" t="s">
        <v>195</v>
      </c>
      <c r="C90" t="s">
        <v>547</v>
      </c>
      <c r="D90" t="s">
        <v>548</v>
      </c>
      <c r="E90" t="s">
        <v>549</v>
      </c>
    </row>
    <row r="91" spans="1:5" ht="15" customHeight="1">
      <c r="A91" t="s">
        <v>197</v>
      </c>
      <c r="B91" t="s">
        <v>197</v>
      </c>
      <c r="C91" t="s">
        <v>550</v>
      </c>
      <c r="D91" t="s">
        <v>551</v>
      </c>
      <c r="E91" t="s">
        <v>552</v>
      </c>
    </row>
    <row r="92" spans="1:5" ht="15" customHeight="1">
      <c r="A92" t="s">
        <v>199</v>
      </c>
      <c r="B92" t="s">
        <v>199</v>
      </c>
      <c r="C92" t="s">
        <v>553</v>
      </c>
      <c r="D92" t="s">
        <v>554</v>
      </c>
      <c r="E92" t="s">
        <v>555</v>
      </c>
    </row>
    <row r="93" spans="1:5" ht="15" customHeight="1">
      <c r="A93" t="s">
        <v>202</v>
      </c>
      <c r="B93" t="s">
        <v>202</v>
      </c>
      <c r="C93" t="s">
        <v>556</v>
      </c>
      <c r="D93" t="s">
        <v>557</v>
      </c>
      <c r="E93" t="s">
        <v>555</v>
      </c>
    </row>
    <row r="94" spans="1:5" ht="15" customHeight="1">
      <c r="A94" t="s">
        <v>204</v>
      </c>
      <c r="B94" t="s">
        <v>204</v>
      </c>
      <c r="C94" t="s">
        <v>558</v>
      </c>
      <c r="D94" t="s">
        <v>559</v>
      </c>
      <c r="E94" t="s">
        <v>560</v>
      </c>
    </row>
    <row r="95" spans="1:5" ht="15" customHeight="1">
      <c r="A95" t="s">
        <v>207</v>
      </c>
      <c r="B95" t="s">
        <v>207</v>
      </c>
      <c r="C95" t="s">
        <v>561</v>
      </c>
      <c r="D95" t="s">
        <v>562</v>
      </c>
      <c r="E95" t="s">
        <v>563</v>
      </c>
    </row>
    <row r="96" spans="1:5" ht="15" customHeight="1">
      <c r="A96" t="s">
        <v>210</v>
      </c>
      <c r="B96" t="s">
        <v>210</v>
      </c>
      <c r="C96" t="s">
        <v>564</v>
      </c>
      <c r="D96" t="s">
        <v>565</v>
      </c>
      <c r="E96" t="s">
        <v>566</v>
      </c>
    </row>
    <row r="97" spans="1:5" ht="15" customHeight="1">
      <c r="A97" t="s">
        <v>212</v>
      </c>
      <c r="B97" t="s">
        <v>212</v>
      </c>
      <c r="C97" t="s">
        <v>567</v>
      </c>
      <c r="D97" t="s">
        <v>568</v>
      </c>
      <c r="E97" t="s">
        <v>569</v>
      </c>
    </row>
    <row r="98" spans="1:5" ht="15" customHeight="1">
      <c r="A98" t="s">
        <v>214</v>
      </c>
      <c r="B98" t="s">
        <v>214</v>
      </c>
      <c r="C98" t="s">
        <v>570</v>
      </c>
      <c r="D98" t="s">
        <v>571</v>
      </c>
      <c r="E98" t="s">
        <v>572</v>
      </c>
    </row>
    <row r="99" spans="1:5" ht="15" customHeight="1">
      <c r="A99" t="s">
        <v>216</v>
      </c>
      <c r="B99" t="s">
        <v>216</v>
      </c>
      <c r="C99" t="s">
        <v>573</v>
      </c>
      <c r="D99" t="s">
        <v>574</v>
      </c>
      <c r="E99" t="s">
        <v>575</v>
      </c>
    </row>
    <row r="100" spans="1:5" ht="15" customHeight="1">
      <c r="A100" t="s">
        <v>218</v>
      </c>
      <c r="B100" t="s">
        <v>218</v>
      </c>
      <c r="C100" t="s">
        <v>576</v>
      </c>
      <c r="D100" t="s">
        <v>577</v>
      </c>
      <c r="E100" t="s">
        <v>578</v>
      </c>
    </row>
    <row r="101" spans="1:5" ht="15" customHeight="1">
      <c r="A101" t="s">
        <v>220</v>
      </c>
      <c r="B101" t="s">
        <v>220</v>
      </c>
      <c r="C101" t="s">
        <v>579</v>
      </c>
      <c r="D101" t="s">
        <v>580</v>
      </c>
      <c r="E101" t="s">
        <v>524</v>
      </c>
    </row>
    <row r="102" spans="1:5" ht="15" customHeight="1">
      <c r="A102" t="s">
        <v>222</v>
      </c>
      <c r="B102" t="s">
        <v>222</v>
      </c>
      <c r="C102" t="s">
        <v>581</v>
      </c>
      <c r="D102" t="s">
        <v>582</v>
      </c>
      <c r="E102" t="s">
        <v>583</v>
      </c>
    </row>
    <row r="103" spans="1:5" ht="15" customHeight="1">
      <c r="A103" t="s">
        <v>224</v>
      </c>
      <c r="B103" t="s">
        <v>224</v>
      </c>
      <c r="C103" t="s">
        <v>584</v>
      </c>
      <c r="D103" t="s">
        <v>585</v>
      </c>
      <c r="E103" t="s">
        <v>586</v>
      </c>
    </row>
    <row r="104" spans="1:5" ht="15" customHeight="1">
      <c r="A104" t="s">
        <v>226</v>
      </c>
      <c r="B104" t="s">
        <v>226</v>
      </c>
      <c r="C104" t="s">
        <v>587</v>
      </c>
      <c r="D104" t="s">
        <v>588</v>
      </c>
      <c r="E104" t="s">
        <v>375</v>
      </c>
    </row>
    <row r="105" spans="1:5" ht="15" customHeight="1">
      <c r="A105" t="s">
        <v>229</v>
      </c>
      <c r="B105" t="s">
        <v>229</v>
      </c>
      <c r="C105" t="s">
        <v>589</v>
      </c>
      <c r="D105" t="s">
        <v>590</v>
      </c>
      <c r="E105" t="s">
        <v>591</v>
      </c>
    </row>
    <row r="106" spans="1:5" ht="15" customHeight="1">
      <c r="A106" t="s">
        <v>231</v>
      </c>
      <c r="B106" t="s">
        <v>231</v>
      </c>
      <c r="C106" t="s">
        <v>592</v>
      </c>
      <c r="D106" t="s">
        <v>593</v>
      </c>
      <c r="E106" t="s">
        <v>594</v>
      </c>
    </row>
    <row r="107" spans="1:5" ht="15" customHeight="1">
      <c r="A107" t="s">
        <v>234</v>
      </c>
      <c r="B107" t="s">
        <v>234</v>
      </c>
      <c r="C107" t="s">
        <v>595</v>
      </c>
      <c r="D107" t="s">
        <v>596</v>
      </c>
      <c r="E107" t="s">
        <v>597</v>
      </c>
    </row>
    <row r="108" spans="1:5" ht="15" customHeight="1">
      <c r="A108" t="s">
        <v>236</v>
      </c>
      <c r="B108" t="s">
        <v>236</v>
      </c>
      <c r="C108" t="s">
        <v>598</v>
      </c>
      <c r="D108" t="s">
        <v>599</v>
      </c>
      <c r="E108" t="s">
        <v>600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LEPTIN_MTOR</vt:lpstr>
      <vt:lpstr>MTOR_AUTOPHAGY_LIPOPHAGY</vt:lpstr>
      <vt:lpstr>LIPOPHAGY_CORE</vt:lpstr>
      <vt:lpstr>VIC_OSTEOGENIC</vt:lpstr>
      <vt:lpstr>S100A9_RAGE_CALCIFICATION</vt:lpstr>
      <vt:lpstr>jaccard_check</vt:lpstr>
      <vt:lpstr>master</vt:lpstr>
      <vt:lpstr>_ALL_ROWS</vt:lpstr>
      <vt:lpstr>_PMID_DUPS</vt:lpstr>
      <vt:lpstr>_HGNC_REF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宗岳 李</cp:lastModifiedBy>
  <cp:revision>0</cp:revision>
  <dcterms:created xsi:type="dcterms:W3CDTF">2026-05-25T13:42:24Z</dcterms:created>
  <dcterms:modified xsi:type="dcterms:W3CDTF">2026-05-26T06:46:38Z</dcterms:modified>
  <dc:language>en-US</dc:language>
</cp:coreProperties>
</file>